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  <sheet name="Pay Line Items" sheetId="2" state="visible" r:id="rId4"/>
    <sheet name="Wage Type Catalog" sheetId="3" state="visible" r:id="rId5"/>
    <sheet name="Notes" sheetId="4" state="visible" r:id="rId6"/>
  </sheets>
  <definedNames>
    <definedName function="false" hidden="true" localSheetId="0" name="_xlnm._FilterDatabase" vbProcedure="false">'Master Data'!$A$1:$AX$11</definedName>
    <definedName function="false" hidden="true" localSheetId="1" name="_xlnm._FilterDatabase" vbProcedure="false">'Pay Line Items'!$A$1:$Q$165</definedName>
    <definedName function="false" hidden="true" localSheetId="2" name="_xlnm._FilterDatabase" vbProcedure="false">'Wage Type Catalog'!$A$1:$J$21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<sst xmlns="http://schemas.openxmlformats.org/spreadsheetml/2006/main" count="2356" uniqueCount="397">
  <si>
    <t xml:space="preserve">schema_version</t>
  </si>
  <si>
    <t xml:space="preserve">payslip_id</t>
  </si>
  <si>
    <t xml:space="preserve">molga_country_grouping</t>
  </si>
  <si>
    <t xml:space="preserve">employer_name</t>
  </si>
  <si>
    <t xml:space="preserve">employer_tax_id_1_type</t>
  </si>
  <si>
    <t xml:space="preserve">employer_tax_id_1</t>
  </si>
  <si>
    <t xml:space="preserve">employer_tax_id_1_country</t>
  </si>
  <si>
    <t xml:space="preserve">employer_tax_id_2_type</t>
  </si>
  <si>
    <t xml:space="preserve">employer_tax_id_2</t>
  </si>
  <si>
    <t xml:space="preserve">employer_tax_id_2_country</t>
  </si>
  <si>
    <t xml:space="preserve">employer_address_line1</t>
  </si>
  <si>
    <t xml:space="preserve">employer_address_line2</t>
  </si>
  <si>
    <t xml:space="preserve">employer_city</t>
  </si>
  <si>
    <t xml:space="preserve">employer_state</t>
  </si>
  <si>
    <t xml:space="preserve">employer_postal_code</t>
  </si>
  <si>
    <t xml:space="preserve">employer_country_code</t>
  </si>
  <si>
    <t xml:space="preserve">employer_branch_name</t>
  </si>
  <si>
    <t xml:space="preserve">employer_branch_country_code</t>
  </si>
  <si>
    <t xml:space="preserve">employee_first_name</t>
  </si>
  <si>
    <t xml:space="preserve">employee_middle_name</t>
  </si>
  <si>
    <t xml:space="preserve">employee_last_name</t>
  </si>
  <si>
    <t xml:space="preserve">employee_address_line1</t>
  </si>
  <si>
    <t xml:space="preserve">employee_city</t>
  </si>
  <si>
    <t xml:space="preserve">employee_state</t>
  </si>
  <si>
    <t xml:space="preserve">employee_postal_code</t>
  </si>
  <si>
    <t xml:space="preserve">employee_country_code</t>
  </si>
  <si>
    <t xml:space="preserve">employee_id</t>
  </si>
  <si>
    <t xml:space="preserve">personnel_number</t>
  </si>
  <si>
    <t xml:space="preserve">payroll_id</t>
  </si>
  <si>
    <t xml:space="preserve">tax_code</t>
  </si>
  <si>
    <t xml:space="preserve">job_title</t>
  </si>
  <si>
    <t xml:space="preserve">department</t>
  </si>
  <si>
    <t xml:space="preserve">basic_rate_code</t>
  </si>
  <si>
    <t xml:space="preserve">basic_salary</t>
  </si>
  <si>
    <t xml:space="preserve">employment_group</t>
  </si>
  <si>
    <t xml:space="preserve">personnel_area</t>
  </si>
  <si>
    <t xml:space="preserve">marital_status</t>
  </si>
  <si>
    <t xml:space="preserve">payment_method</t>
  </si>
  <si>
    <t xml:space="preserve">bank_account_number</t>
  </si>
  <si>
    <t xml:space="preserve">salary_account</t>
  </si>
  <si>
    <t xml:space="preserve">payroll_country_code</t>
  </si>
  <si>
    <t xml:space="preserve">payroll_currency</t>
  </si>
  <si>
    <t xml:space="preserve">payment_currency</t>
  </si>
  <si>
    <t xml:space="preserve">pay_frequency</t>
  </si>
  <si>
    <t xml:space="preserve">pay_period_start</t>
  </si>
  <si>
    <t xml:space="preserve">pay_period_end</t>
  </si>
  <si>
    <t xml:space="preserve">payment_date</t>
  </si>
  <si>
    <t xml:space="preserve">tax_year</t>
  </si>
  <si>
    <t xml:space="preserve">cost_center</t>
  </si>
  <si>
    <t xml:space="preserve">payroll_reference</t>
  </si>
  <si>
    <t xml:space="preserve">1.1.0</t>
  </si>
  <si>
    <t xml:space="preserve">us-90088-2025-02-22-000000900004502</t>
  </si>
  <si>
    <t xml:space="preserve">10</t>
  </si>
  <si>
    <t xml:space="preserve">Brightmoor Composites, Inc</t>
  </si>
  <si>
    <t xml:space="preserve">EMPLOYER_ID</t>
  </si>
  <si>
    <t xml:space="preserve">075701781</t>
  </si>
  <si>
    <t xml:space="preserve">US</t>
  </si>
  <si>
    <t xml:space="preserve">OREGON_EMPLOYER_BIN</t>
  </si>
  <si>
    <t xml:space="preserve">0014187</t>
  </si>
  <si>
    <t xml:space="preserve">4100 Larkspur Commons Dr</t>
  </si>
  <si>
    <t xml:space="preserve">Suite 210</t>
  </si>
  <si>
    <t xml:space="preserve">Wilsonville</t>
  </si>
  <si>
    <t xml:space="preserve">OR</t>
  </si>
  <si>
    <t xml:space="preserve">97070</t>
  </si>
  <si>
    <t xml:space="preserve">BMCWV</t>
  </si>
  <si>
    <t xml:space="preserve">Lena</t>
  </si>
  <si>
    <t xml:space="preserve">Marie</t>
  </si>
  <si>
    <t xml:space="preserve">Vostrikova</t>
  </si>
  <si>
    <t xml:space="preserve">1820 SE Wrenfield Ct</t>
  </si>
  <si>
    <t xml:space="preserve">Portland</t>
  </si>
  <si>
    <t xml:space="preserve">97214</t>
  </si>
  <si>
    <t xml:space="preserve">90088</t>
  </si>
  <si>
    <t xml:space="preserve">000000900004502</t>
  </si>
  <si>
    <t xml:space="preserve">Federal=Single; State=Single; Federal Allowances=0; State Allowances=1</t>
  </si>
  <si>
    <t xml:space="preserve">Data Analyst</t>
  </si>
  <si>
    <t xml:space="preserve">1104100-DATA &amp; INSIGHTS</t>
  </si>
  <si>
    <t xml:space="preserve">BIWEEKLY</t>
  </si>
  <si>
    <t xml:space="preserve">BW1-Biweekly Salaried Exempt</t>
  </si>
  <si>
    <t xml:space="preserve">Composites Division</t>
  </si>
  <si>
    <t xml:space="preserve">Single</t>
  </si>
  <si>
    <t xml:space="preserve">DIRECT_DEPOSIT</t>
  </si>
  <si>
    <t xml:space="preserve">9999324423</t>
  </si>
  <si>
    <t xml:space="preserve">USD</t>
  </si>
  <si>
    <t xml:space="preserve">2025-02-22</t>
  </si>
  <si>
    <t xml:space="preserve">2025-03-07</t>
  </si>
  <si>
    <t xml:space="preserve">2025</t>
  </si>
  <si>
    <t xml:space="preserve">BMCWV/000000900004502</t>
  </si>
  <si>
    <t xml:space="preserve">us-90177-2025-01-25-000000900009523</t>
  </si>
  <si>
    <t xml:space="preserve">Quillon Medical Systems LLC</t>
  </si>
  <si>
    <t xml:space="preserve">086628435</t>
  </si>
  <si>
    <t xml:space="preserve">0077050</t>
  </si>
  <si>
    <t xml:space="preserve">77 Tidewater Crossing</t>
  </si>
  <si>
    <t xml:space="preserve">P. O. Box 5120</t>
  </si>
  <si>
    <t xml:space="preserve">Wilmington</t>
  </si>
  <si>
    <t xml:space="preserve">DE</t>
  </si>
  <si>
    <t xml:space="preserve">19801</t>
  </si>
  <si>
    <t xml:space="preserve">QMSWL</t>
  </si>
  <si>
    <t xml:space="preserve">Jonah</t>
  </si>
  <si>
    <t xml:space="preserve">Everett</t>
  </si>
  <si>
    <t xml:space="preserve">Pelletier</t>
  </si>
  <si>
    <t xml:space="preserve">3047 NW Thornbury Ln</t>
  </si>
  <si>
    <t xml:space="preserve">Corvallis</t>
  </si>
  <si>
    <t xml:space="preserve">97330</t>
  </si>
  <si>
    <t xml:space="preserve">90177</t>
  </si>
  <si>
    <t xml:space="preserve">000000900009523</t>
  </si>
  <si>
    <t xml:space="preserve">Federal=Married; State=Married; Federal Allowances=0; State Allowances=2</t>
  </si>
  <si>
    <t xml:space="preserve">Process Engineer</t>
  </si>
  <si>
    <t xml:space="preserve">2206200-PROCESS ENGINEERING</t>
  </si>
  <si>
    <t xml:space="preserve">Diagnostics Unit</t>
  </si>
  <si>
    <t xml:space="preserve">Married</t>
  </si>
  <si>
    <t xml:space="preserve">9999957806</t>
  </si>
  <si>
    <t xml:space="preserve">2025-01-25</t>
  </si>
  <si>
    <t xml:space="preserve">2025-02-07</t>
  </si>
  <si>
    <t xml:space="preserve">QMSWL/000000900009523</t>
  </si>
  <si>
    <t xml:space="preserve">us-90283-2025-04-05-000000900019134</t>
  </si>
  <si>
    <t xml:space="preserve">Orrin Vale Engineering Corp</t>
  </si>
  <si>
    <t xml:space="preserve">099850569</t>
  </si>
  <si>
    <t xml:space="preserve">0022800</t>
  </si>
  <si>
    <t xml:space="preserve">9200 Fennimore Tech Loop</t>
  </si>
  <si>
    <t xml:space="preserve">Building B</t>
  </si>
  <si>
    <t xml:space="preserve">Austin</t>
  </si>
  <si>
    <t xml:space="preserve">TX</t>
  </si>
  <si>
    <t xml:space="preserve">78758</t>
  </si>
  <si>
    <t xml:space="preserve">OVEAU</t>
  </si>
  <si>
    <t xml:space="preserve">Meera</t>
  </si>
  <si>
    <t xml:space="preserve">Kavya</t>
  </si>
  <si>
    <t xml:space="preserve">Sundaresan</t>
  </si>
  <si>
    <t xml:space="preserve">645 SW Ashcombe Dr</t>
  </si>
  <si>
    <t xml:space="preserve">Beaverton</t>
  </si>
  <si>
    <t xml:space="preserve">97005</t>
  </si>
  <si>
    <t xml:space="preserve">90283</t>
  </si>
  <si>
    <t xml:space="preserve">000000900019134</t>
  </si>
  <si>
    <t xml:space="preserve">Federal=Single; State=Single; Federal Allowances=0; State Allowances=0</t>
  </si>
  <si>
    <t xml:space="preserve">Senior Software Engineer</t>
  </si>
  <si>
    <t xml:space="preserve">3308300-PLATFORM SERVICES</t>
  </si>
  <si>
    <t xml:space="preserve">Engineering Services</t>
  </si>
  <si>
    <t xml:space="preserve">9999160538</t>
  </si>
  <si>
    <t xml:space="preserve">2025-04-05</t>
  </si>
  <si>
    <t xml:space="preserve">2025-04-18</t>
  </si>
  <si>
    <t xml:space="preserve">OVEAU/000000900019134</t>
  </si>
  <si>
    <t xml:space="preserve">us-90372-2025-04-05-000000900028576</t>
  </si>
  <si>
    <t xml:space="preserve">Hollowfield Provisions Co</t>
  </si>
  <si>
    <t xml:space="preserve">175838079</t>
  </si>
  <si>
    <t xml:space="preserve">0053989</t>
  </si>
  <si>
    <t xml:space="preserve">512 Marrowstone Way</t>
  </si>
  <si>
    <t xml:space="preserve">Boise</t>
  </si>
  <si>
    <t xml:space="preserve">ID</t>
  </si>
  <si>
    <t xml:space="preserve">83702</t>
  </si>
  <si>
    <t xml:space="preserve">HFPBO</t>
  </si>
  <si>
    <t xml:space="preserve">Tobias</t>
  </si>
  <si>
    <t xml:space="preserve">Adewale</t>
  </si>
  <si>
    <t xml:space="preserve">Nwachukwu</t>
  </si>
  <si>
    <t xml:space="preserve">1190 Larchmere St NE</t>
  </si>
  <si>
    <t xml:space="preserve">Salem</t>
  </si>
  <si>
    <t xml:space="preserve">97301</t>
  </si>
  <si>
    <t xml:space="preserve">90372</t>
  </si>
  <si>
    <t xml:space="preserve">000000900028576</t>
  </si>
  <si>
    <t xml:space="preserve">Federal=Married; State=Married; Federal Allowances=0; State Allowances=3</t>
  </si>
  <si>
    <t xml:space="preserve">Quality Technician</t>
  </si>
  <si>
    <t xml:space="preserve">4402400-QUALITY CONTROL</t>
  </si>
  <si>
    <t xml:space="preserve">Food Operations</t>
  </si>
  <si>
    <t xml:space="preserve">9999281334</t>
  </si>
  <si>
    <t xml:space="preserve">HFPBO/000000900028576</t>
  </si>
  <si>
    <t xml:space="preserve">us-90417-2025-06-14-000000900038344</t>
  </si>
  <si>
    <t xml:space="preserve">Tarnwick Software, Inc</t>
  </si>
  <si>
    <t xml:space="preserve">182687783</t>
  </si>
  <si>
    <t xml:space="preserve">0041580</t>
  </si>
  <si>
    <t xml:space="preserve">1880 Cindermoss Ave</t>
  </si>
  <si>
    <t xml:space="preserve">Floor 7</t>
  </si>
  <si>
    <t xml:space="preserve">Seattle</t>
  </si>
  <si>
    <t xml:space="preserve">WA</t>
  </si>
  <si>
    <t xml:space="preserve">98109</t>
  </si>
  <si>
    <t xml:space="preserve">TSWSE</t>
  </si>
  <si>
    <t xml:space="preserve">Clara</t>
  </si>
  <si>
    <t xml:space="preserve">Beatriz</t>
  </si>
  <si>
    <t xml:space="preserve">Montalvo</t>
  </si>
  <si>
    <t xml:space="preserve">2786 Selwyn Hollow Rd</t>
  </si>
  <si>
    <t xml:space="preserve">Eugene</t>
  </si>
  <si>
    <t xml:space="preserve">97405</t>
  </si>
  <si>
    <t xml:space="preserve">90417</t>
  </si>
  <si>
    <t xml:space="preserve">000000900038344</t>
  </si>
  <si>
    <t xml:space="preserve">Product Owner</t>
  </si>
  <si>
    <t xml:space="preserve">5510500-DIGITAL PRODUCTS</t>
  </si>
  <si>
    <t xml:space="preserve">Cloud Products</t>
  </si>
  <si>
    <t xml:space="preserve">9999275344</t>
  </si>
  <si>
    <t xml:space="preserve">2025-06-14</t>
  </si>
  <si>
    <t xml:space="preserve">2025-06-27</t>
  </si>
  <si>
    <t xml:space="preserve">TSWSE/000000900038344</t>
  </si>
  <si>
    <t xml:space="preserve">us-90487-2025-01-25-000000900046035</t>
  </si>
  <si>
    <t xml:space="preserve">Elderquay Forest Products LLC</t>
  </si>
  <si>
    <t xml:space="preserve">196840230</t>
  </si>
  <si>
    <t xml:space="preserve">0076430</t>
  </si>
  <si>
    <t xml:space="preserve">3305 Bramblewick Rd</t>
  </si>
  <si>
    <t xml:space="preserve">97402</t>
  </si>
  <si>
    <t xml:space="preserve">EQFEU</t>
  </si>
  <si>
    <t xml:space="preserve">Declan</t>
  </si>
  <si>
    <t xml:space="preserve">Hugh</t>
  </si>
  <si>
    <t xml:space="preserve">Ferriday</t>
  </si>
  <si>
    <t xml:space="preserve">834 E Galloway Ridge</t>
  </si>
  <si>
    <t xml:space="preserve">Hillsboro</t>
  </si>
  <si>
    <t xml:space="preserve">97123</t>
  </si>
  <si>
    <t xml:space="preserve">90487</t>
  </si>
  <si>
    <t xml:space="preserve">000000900046035</t>
  </si>
  <si>
    <t xml:space="preserve">Research Chemist</t>
  </si>
  <si>
    <t xml:space="preserve">6603600-MATERIALS RESEARCH</t>
  </si>
  <si>
    <t xml:space="preserve">Engineered Materials</t>
  </si>
  <si>
    <t xml:space="preserve">9999719750</t>
  </si>
  <si>
    <t xml:space="preserve">EQFEU/000000900046035</t>
  </si>
  <si>
    <t xml:space="preserve">us-90614-2025-07-12-000000900047520</t>
  </si>
  <si>
    <t xml:space="preserve">Varnell Insight Partners, Inc</t>
  </si>
  <si>
    <t xml:space="preserve">289016935</t>
  </si>
  <si>
    <t xml:space="preserve">0084357</t>
  </si>
  <si>
    <t xml:space="preserve">240 Oxley Wharf St</t>
  </si>
  <si>
    <t xml:space="preserve">Suite 1400</t>
  </si>
  <si>
    <t xml:space="preserve">Philadelphia</t>
  </si>
  <si>
    <t xml:space="preserve">PA</t>
  </si>
  <si>
    <t xml:space="preserve">19103</t>
  </si>
  <si>
    <t xml:space="preserve">VIPPH</t>
  </si>
  <si>
    <t xml:space="preserve">Yasmin</t>
  </si>
  <si>
    <t xml:space="preserve">Leila</t>
  </si>
  <si>
    <t xml:space="preserve">Haddad-Ortiz</t>
  </si>
  <si>
    <t xml:space="preserve">219 N Pembrook Trl</t>
  </si>
  <si>
    <t xml:space="preserve">Ashland</t>
  </si>
  <si>
    <t xml:space="preserve">97520</t>
  </si>
  <si>
    <t xml:space="preserve">90614</t>
  </si>
  <si>
    <t xml:space="preserve">000000900047520</t>
  </si>
  <si>
    <t xml:space="preserve">People Partner</t>
  </si>
  <si>
    <t xml:space="preserve">7701700-PEOPLE OPERATIONS</t>
  </si>
  <si>
    <t xml:space="preserve">Corporate Services</t>
  </si>
  <si>
    <t xml:space="preserve">9999542561</t>
  </si>
  <si>
    <t xml:space="preserve">2025-07-12</t>
  </si>
  <si>
    <t xml:space="preserve">2025-07-25</t>
  </si>
  <si>
    <t xml:space="preserve">VIPPH/000000900047520</t>
  </si>
  <si>
    <t xml:space="preserve">us-90721-2025-02-08-000000900056819</t>
  </si>
  <si>
    <t xml:space="preserve">Stellhaven Aero Components Corp</t>
  </si>
  <si>
    <t xml:space="preserve">293160496</t>
  </si>
  <si>
    <t xml:space="preserve">0021846</t>
  </si>
  <si>
    <t xml:space="preserve">6610 Kestrelmoor Blvd</t>
  </si>
  <si>
    <t xml:space="preserve">Hangar 4</t>
  </si>
  <si>
    <t xml:space="preserve">97124</t>
  </si>
  <si>
    <t xml:space="preserve">SACHI</t>
  </si>
  <si>
    <t xml:space="preserve">Callum</t>
  </si>
  <si>
    <t xml:space="preserve">Reid</t>
  </si>
  <si>
    <t xml:space="preserve">Strathmore</t>
  </si>
  <si>
    <t xml:space="preserve">1402 NE Quenby Pl</t>
  </si>
  <si>
    <t xml:space="preserve">Bend</t>
  </si>
  <si>
    <t xml:space="preserve">97701</t>
  </si>
  <si>
    <t xml:space="preserve">90721</t>
  </si>
  <si>
    <t xml:space="preserve">000000900056819</t>
  </si>
  <si>
    <t xml:space="preserve">Federal=Married; State=Married; Federal Allowances=0; State Allowances=1</t>
  </si>
  <si>
    <t xml:space="preserve">Production Lead</t>
  </si>
  <si>
    <t xml:space="preserve">8805800-PRODUCTION</t>
  </si>
  <si>
    <t xml:space="preserve">Aero Structures</t>
  </si>
  <si>
    <t xml:space="preserve">9999952704</t>
  </si>
  <si>
    <t xml:space="preserve">2025-02-08</t>
  </si>
  <si>
    <t xml:space="preserve">2025-02-21</t>
  </si>
  <si>
    <t xml:space="preserve">SACHI/000000900056819</t>
  </si>
  <si>
    <t xml:space="preserve">us-90848-2025-02-22-000000900066265</t>
  </si>
  <si>
    <t xml:space="preserve">Marrowgate Clinical LLC</t>
  </si>
  <si>
    <t xml:space="preserve">497203187</t>
  </si>
  <si>
    <t xml:space="preserve">0098756</t>
  </si>
  <si>
    <t xml:space="preserve">915 Plover Hollow St</t>
  </si>
  <si>
    <t xml:space="preserve">Suite 600</t>
  </si>
  <si>
    <t xml:space="preserve">San Francisco</t>
  </si>
  <si>
    <t xml:space="preserve">CA</t>
  </si>
  <si>
    <t xml:space="preserve">94105</t>
  </si>
  <si>
    <t xml:space="preserve">MGCSF</t>
  </si>
  <si>
    <t xml:space="preserve">Ines</t>
  </si>
  <si>
    <t xml:space="preserve">Carolina</t>
  </si>
  <si>
    <t xml:space="preserve">Rebelo</t>
  </si>
  <si>
    <t xml:space="preserve">3318 Whitlock Crest SE</t>
  </si>
  <si>
    <t xml:space="preserve">97302</t>
  </si>
  <si>
    <t xml:space="preserve">90848</t>
  </si>
  <si>
    <t xml:space="preserve">000000900066265</t>
  </si>
  <si>
    <t xml:space="preserve">Clinical Trial Coordinator</t>
  </si>
  <si>
    <t xml:space="preserve">9902900-CLINICAL OPERATIONS</t>
  </si>
  <si>
    <t xml:space="preserve">Clinical Studies</t>
  </si>
  <si>
    <t xml:space="preserve">9999804441</t>
  </si>
  <si>
    <t xml:space="preserve">MGCSF/000000900066265</t>
  </si>
  <si>
    <t xml:space="preserve">us-90942-2025-03-08-000000900072973</t>
  </si>
  <si>
    <t xml:space="preserve">Duncairn Fabrication Co</t>
  </si>
  <si>
    <t xml:space="preserve">699997446</t>
  </si>
  <si>
    <t xml:space="preserve">0012112</t>
  </si>
  <si>
    <t xml:space="preserve">2475 Ironthistle Ave</t>
  </si>
  <si>
    <t xml:space="preserve">Salt Lake City</t>
  </si>
  <si>
    <t xml:space="preserve">UT</t>
  </si>
  <si>
    <t xml:space="preserve">84104</t>
  </si>
  <si>
    <t xml:space="preserve">DFCSL</t>
  </si>
  <si>
    <t xml:space="preserve">Haruto</t>
  </si>
  <si>
    <t xml:space="preserve">Ken</t>
  </si>
  <si>
    <t xml:space="preserve">Aoyagi</t>
  </si>
  <si>
    <t xml:space="preserve">1566 SW Dorrance Ave</t>
  </si>
  <si>
    <t xml:space="preserve">97201</t>
  </si>
  <si>
    <t xml:space="preserve">90942</t>
  </si>
  <si>
    <t xml:space="preserve">000000900072973</t>
  </si>
  <si>
    <t xml:space="preserve">Simulation Analyst</t>
  </si>
  <si>
    <t xml:space="preserve">1207100-DIGITAL ENGINEERING</t>
  </si>
  <si>
    <t xml:space="preserve">Heavy Fabrication</t>
  </si>
  <si>
    <t xml:space="preserve">9999391819</t>
  </si>
  <si>
    <t xml:space="preserve">2025-03-08</t>
  </si>
  <si>
    <t xml:space="preserve">2025-03-21</t>
  </si>
  <si>
    <t xml:space="preserve">DFCSL/000000900072973</t>
  </si>
  <si>
    <t xml:space="preserve">section</t>
  </si>
  <si>
    <t xml:space="preserve">applies_to</t>
  </si>
  <si>
    <t xml:space="preserve">wage_code</t>
  </si>
  <si>
    <t xml:space="preserve">wage_type</t>
  </si>
  <si>
    <t xml:space="preserve">unit</t>
  </si>
  <si>
    <t xml:space="preserve">quantity</t>
  </si>
  <si>
    <t xml:space="preserve">base</t>
  </si>
  <si>
    <t xml:space="preserve">employee_rate</t>
  </si>
  <si>
    <t xml:space="preserve">employee_amount</t>
  </si>
  <si>
    <t xml:space="preserve">employer_amount</t>
  </si>
  <si>
    <t xml:space="preserve">amount</t>
  </si>
  <si>
    <t xml:space="preserve">share</t>
  </si>
  <si>
    <t xml:space="preserve">tax_treatment</t>
  </si>
  <si>
    <t xml:space="preserve">kind</t>
  </si>
  <si>
    <t xml:space="preserve">line_category</t>
  </si>
  <si>
    <t xml:space="preserve">EARNING</t>
  </si>
  <si>
    <t xml:space="preserve">CURRENT</t>
  </si>
  <si>
    <t xml:space="preserve">1000</t>
  </si>
  <si>
    <t xml:space="preserve">Regular Salary</t>
  </si>
  <si>
    <t xml:space="preserve">HOURS</t>
  </si>
  <si>
    <t xml:space="preserve">EMPLOYEE</t>
  </si>
  <si>
    <t xml:space="preserve">TAXABLE</t>
  </si>
  <si>
    <t xml:space="preserve">OTHER</t>
  </si>
  <si>
    <t xml:space="preserve">1110</t>
  </si>
  <si>
    <t xml:space="preserve">Vacation Pay</t>
  </si>
  <si>
    <t xml:space="preserve">LEAVE</t>
  </si>
  <si>
    <t xml:space="preserve">1510</t>
  </si>
  <si>
    <t xml:space="preserve">Group Term Life Imputed</t>
  </si>
  <si>
    <t xml:space="preserve">IMPUTED_INCOME</t>
  </si>
  <si>
    <t xml:space="preserve">DEDUCTION</t>
  </si>
  <si>
    <t xml:space="preserve">4010</t>
  </si>
  <si>
    <t xml:space="preserve">Federal Income Tax</t>
  </si>
  <si>
    <t xml:space="preserve">US_TAX</t>
  </si>
  <si>
    <t xml:space="preserve">4050</t>
  </si>
  <si>
    <t xml:space="preserve">Medicare EE</t>
  </si>
  <si>
    <t xml:space="preserve">HEALTH</t>
  </si>
  <si>
    <t xml:space="preserve">4030</t>
  </si>
  <si>
    <t xml:space="preserve">Social Security EE</t>
  </si>
  <si>
    <t xml:space="preserve">4120</t>
  </si>
  <si>
    <t xml:space="preserve">OR Paid Leave EE</t>
  </si>
  <si>
    <t xml:space="preserve">4110</t>
  </si>
  <si>
    <t xml:space="preserve">OR State Income Tax</t>
  </si>
  <si>
    <t xml:space="preserve">4130</t>
  </si>
  <si>
    <t xml:space="preserve">OR Statewide Transit Tax</t>
  </si>
  <si>
    <t xml:space="preserve">5000</t>
  </si>
  <si>
    <t xml:space="preserve">401(k) Pre-Tax</t>
  </si>
  <si>
    <t xml:space="preserve">EXEMPT</t>
  </si>
  <si>
    <t xml:space="preserve">RETIREMENT</t>
  </si>
  <si>
    <t xml:space="preserve">PRE_TAX_DEDUCTION</t>
  </si>
  <si>
    <t xml:space="preserve">5120</t>
  </si>
  <si>
    <t xml:space="preserve">Vision Pre-Tax</t>
  </si>
  <si>
    <t xml:space="preserve">5110</t>
  </si>
  <si>
    <t xml:space="preserve">Dental Pre-Tax</t>
  </si>
  <si>
    <t xml:space="preserve">5100</t>
  </si>
  <si>
    <t xml:space="preserve">Medical Pre-Tax</t>
  </si>
  <si>
    <t xml:space="preserve">ER_CONTRIB</t>
  </si>
  <si>
    <t xml:space="preserve">7000</t>
  </si>
  <si>
    <t xml:space="preserve">401(k) Employer Match</t>
  </si>
  <si>
    <t xml:space="preserve">EMPLOYER</t>
  </si>
  <si>
    <t xml:space="preserve">EMPLOYER_PAID_BENEFIT</t>
  </si>
  <si>
    <t xml:space="preserve">7100</t>
  </si>
  <si>
    <t xml:space="preserve">Medical Employer Contribution</t>
  </si>
  <si>
    <t xml:space="preserve">1100</t>
  </si>
  <si>
    <t xml:space="preserve">Holiday Pay</t>
  </si>
  <si>
    <t xml:space="preserve">1500</t>
  </si>
  <si>
    <t xml:space="preserve">Domestic Partner Imputed Income</t>
  </si>
  <si>
    <t xml:space="preserve">6120</t>
  </si>
  <si>
    <t xml:space="preserve">Domestic Partner Vision</t>
  </si>
  <si>
    <t xml:space="preserve">AFTER_TAX_DEDUCTION</t>
  </si>
  <si>
    <t xml:space="preserve">6110</t>
  </si>
  <si>
    <t xml:space="preserve">Domestic Partner Dental</t>
  </si>
  <si>
    <t xml:space="preserve">6100</t>
  </si>
  <si>
    <t xml:space="preserve">Domestic Partner Medical</t>
  </si>
  <si>
    <t xml:space="preserve">wage_type_local_lang</t>
  </si>
  <si>
    <t xml:space="preserve">no_of_occurrence</t>
  </si>
  <si>
    <t xml:space="preserve">total_pay</t>
  </si>
  <si>
    <t xml:space="preserve">average_pay</t>
  </si>
  <si>
    <t xml:space="preserve">category</t>
  </si>
  <si>
    <t xml:space="preserve">sub_category</t>
  </si>
  <si>
    <t xml:space="preserve">position</t>
  </si>
  <si>
    <t xml:space="preserve">employment_groups</t>
  </si>
  <si>
    <t xml:space="preserve">molga</t>
  </si>
  <si>
    <t xml:space="preserve">Earning</t>
  </si>
  <si>
    <t xml:space="preserve">Deduction</t>
  </si>
  <si>
    <t xml:space="preserve">Employer Contribution</t>
  </si>
  <si>
    <t xml:space="preserve">Notes</t>
  </si>
  <si>
    <t xml:space="preserve">All data is synthetic demo data regenerated from scratch; only the schema/format follows the source. No value, label or code is taken from the source payslip.</t>
  </si>
  <si>
    <t xml:space="preserve">Employer IDs use IRS-unassigned EIN prefixes; Oregon BINs start 00; bank accounts start 9999; streets and company names are invented. Collision with real records is unlikely but not guaranteed.</t>
  </si>
  <si>
    <t xml:space="preserve">Master Data: one row per employee, non-null scalar keys from the source JSON, renamed with underscores.</t>
  </si>
  <si>
    <t xml:space="preserve">Pay Line Items: every earning, deduction (tax, pre-tax, after-tax) and employer contribution line, joined to Master Data on payslip_id / employee_id.</t>
  </si>
  <si>
    <t xml:space="preserve">line_category is taken from the source line tags (US_TAX, PRE_TAX_DEDUCTION, AFTER_TAX_DEDUCTION, EMPLOYER_PAID_BENEFIT).</t>
  </si>
  <si>
    <t xml:space="preserve">Tax amounts are illustrative approximations (OASDI 6.2%, Medicare 1.45%, OR PFML 0.6%, OR transit 0.1%, simplified annualised federal/Oregon brackets). They are NOT statutory calculations; do not use to test tax logic.</t>
  </si>
  <si>
    <t xml:space="preserve">Amounts are stored as values, not formulas, so the sheets load cleanly into import tools.</t>
  </si>
  <si>
    <t xml:space="preserve">Wage Type Catalog: one row per unique wage code. wage_code values are demo codes (not SAP standard /4xx technical wage types). no_of_occurrence, total_pay and average_pay are live formulas over Pay Line Items. position = display sequence on the payslip. category = line section; sub_category = line category.</t>
  </si>
  <si>
    <t xml:space="preserve">Excluded: tags arrays, withholding (duplicates the tax lines), totals, ytd_totals, leave, counters, messages, source.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</si>
</sst>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Verdana"/>
      <family val="0"/>
      <charset val="1"/>
    </font>
    <font>
      <sz val="9"/>
      <color rgb="FF333333"/>
      <name val="Verdana"/>
      <family val="0"/>
      <charset val="1"/>
    </font>
    <font>
      <b val="true"/>
      <sz val="12"/>
      <color rgb="FF24356A"/>
      <name val="Century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750"/>
        <bgColor rgb="FF24356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AD6"/>
      </left>
      <right style="thin">
        <color rgb="FFD7DAD6"/>
      </right>
      <top style="thin">
        <color rgb="FFD7DAD6"/>
      </top>
      <bottom style="thin">
        <color rgb="FFD7DA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7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750"/>
      <rgbColor rgb="FF339966"/>
      <rgbColor rgb="FF003300"/>
      <rgbColor rgb="FF333300"/>
      <rgbColor rgb="FF993300"/>
      <rgbColor rgb="FF993366"/>
      <rgbColor rgb="FF2435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7"/>
    <col collapsed="false" customWidth="true" hidden="false" outlineLevel="0" max="3" min="3" style="0" width="24"/>
    <col collapsed="false" customWidth="true" hidden="false" outlineLevel="0" max="4" min="4" style="0" width="33"/>
    <col collapsed="false" customWidth="true" hidden="false" outlineLevel="0" max="5" min="5" style="0" width="24"/>
    <col collapsed="false" customWidth="true" hidden="false" outlineLevel="0" max="6" min="6" style="0" width="19"/>
    <col collapsed="false" customWidth="true" hidden="false" outlineLevel="0" max="7" min="7" style="0" width="27"/>
    <col collapsed="false" customWidth="true" hidden="false" outlineLevel="0" max="8" min="8" style="0" width="24"/>
    <col collapsed="false" customWidth="true" hidden="false" outlineLevel="0" max="9" min="9" style="0" width="19"/>
    <col collapsed="false" customWidth="true" hidden="false" outlineLevel="0" max="10" min="10" style="0" width="27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4" min="13" style="0" width="16"/>
    <col collapsed="false" customWidth="true" hidden="false" outlineLevel="0" max="15" min="15" style="0" width="22"/>
    <col collapsed="false" customWidth="true" hidden="false" outlineLevel="0" max="16" min="16" style="0" width="23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21"/>
    <col collapsed="false" customWidth="true" hidden="false" outlineLevel="0" max="20" min="20" style="0" width="22"/>
    <col collapsed="false" customWidth="true" hidden="false" outlineLevel="0" max="21" min="21" style="0" width="20"/>
    <col collapsed="false" customWidth="true" hidden="false" outlineLevel="0" max="22" min="22" style="0" width="24"/>
    <col collapsed="false" customWidth="true" hidden="false" outlineLevel="0" max="23" min="23" style="0" width="15"/>
    <col collapsed="false" customWidth="true" hidden="false" outlineLevel="0" max="24" min="24" style="0" width="16"/>
    <col collapsed="false" customWidth="true" hidden="false" outlineLevel="0" max="25" min="25" style="0" width="22"/>
    <col collapsed="false" customWidth="true" hidden="false" outlineLevel="0" max="26" min="26" style="0" width="23"/>
    <col collapsed="false" customWidth="true" hidden="false" outlineLevel="0" max="27" min="27" style="0" width="13"/>
    <col collapsed="false" customWidth="true" hidden="false" outlineLevel="0" max="28" min="28" style="0" width="18"/>
    <col collapsed="false" customWidth="true" hidden="false" outlineLevel="0" max="29" min="29" style="0" width="17"/>
    <col collapsed="false" customWidth="true" hidden="false" outlineLevel="0" max="30" min="30" style="0" width="55"/>
    <col collapsed="false" customWidth="true" hidden="false" outlineLevel="0" max="31" min="31" style="0" width="28"/>
    <col collapsed="false" customWidth="true" hidden="false" outlineLevel="0" max="32" min="32" style="0" width="29"/>
    <col collapsed="false" customWidth="true" hidden="false" outlineLevel="0" max="33" min="33" style="0" width="17"/>
    <col collapsed="false" customWidth="true" hidden="false" outlineLevel="0" max="34" min="34" style="0" width="14"/>
    <col collapsed="false" customWidth="true" hidden="false" outlineLevel="0" max="35" min="35" style="0" width="30"/>
    <col collapsed="false" customWidth="true" hidden="false" outlineLevel="0" max="36" min="36" style="0" width="22"/>
    <col collapsed="false" customWidth="true" hidden="false" outlineLevel="0" max="38" min="37" style="0" width="16"/>
    <col collapsed="false" customWidth="true" hidden="false" outlineLevel="0" max="39" min="39" style="0" width="21"/>
    <col collapsed="false" customWidth="true" hidden="false" outlineLevel="0" max="40" min="40" style="0" width="16"/>
    <col collapsed="false" customWidth="true" hidden="false" outlineLevel="0" max="41" min="41" style="0" width="22"/>
    <col collapsed="false" customWidth="true" hidden="false" outlineLevel="0" max="43" min="42" style="0" width="18"/>
    <col collapsed="false" customWidth="true" hidden="false" outlineLevel="0" max="44" min="44" style="0" width="15"/>
    <col collapsed="false" customWidth="true" hidden="false" outlineLevel="0" max="45" min="45" style="0" width="18"/>
    <col collapsed="false" customWidth="true" hidden="false" outlineLevel="0" max="46" min="46" style="0" width="16"/>
    <col collapsed="false" customWidth="true" hidden="false" outlineLevel="0" max="47" min="47" style="0" width="14"/>
    <col collapsed="false" customWidth="true" hidden="false" outlineLevel="0" max="48" min="48" style="0" width="10"/>
    <col collapsed="false" customWidth="true" hidden="false" outlineLevel="0" max="49" min="49" style="0" width="29"/>
    <col collapsed="false" customWidth="true" hidden="false" outlineLevel="0" max="50" min="50" style="0" width="2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56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56</v>
      </c>
      <c r="Q2" s="2" t="s">
        <v>64</v>
      </c>
      <c r="R2" s="2" t="s">
        <v>56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62</v>
      </c>
      <c r="Y2" s="2" t="s">
        <v>70</v>
      </c>
      <c r="Z2" s="2" t="s">
        <v>56</v>
      </c>
      <c r="AA2" s="2" t="s">
        <v>71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  <c r="AH2" s="3" t="n">
        <v>3384.62</v>
      </c>
      <c r="AI2" s="2" t="s">
        <v>77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81</v>
      </c>
      <c r="AO2" s="2" t="s">
        <v>56</v>
      </c>
      <c r="AP2" s="2" t="s">
        <v>82</v>
      </c>
      <c r="AQ2" s="2" t="s">
        <v>82</v>
      </c>
      <c r="AR2" s="2" t="s">
        <v>76</v>
      </c>
      <c r="AS2" s="2" t="s">
        <v>83</v>
      </c>
      <c r="AT2" s="2" t="s">
        <v>84</v>
      </c>
      <c r="AU2" s="2" t="s">
        <v>84</v>
      </c>
      <c r="AV2" s="2" t="s">
        <v>85</v>
      </c>
      <c r="AW2" s="2" t="s">
        <v>75</v>
      </c>
      <c r="AX2" s="2" t="s">
        <v>86</v>
      </c>
    </row>
    <row r="3" customFormat="false" ht="15" hidden="false" customHeight="false" outlineLevel="0" collapsed="false">
      <c r="A3" s="2" t="s">
        <v>50</v>
      </c>
      <c r="B3" s="2" t="s">
        <v>87</v>
      </c>
      <c r="C3" s="2" t="s">
        <v>52</v>
      </c>
      <c r="D3" s="2" t="s">
        <v>88</v>
      </c>
      <c r="E3" s="2" t="s">
        <v>54</v>
      </c>
      <c r="F3" s="2" t="s">
        <v>89</v>
      </c>
      <c r="G3" s="2" t="s">
        <v>56</v>
      </c>
      <c r="H3" s="2" t="s">
        <v>57</v>
      </c>
      <c r="I3" s="2" t="s">
        <v>90</v>
      </c>
      <c r="J3" s="2" t="s">
        <v>56</v>
      </c>
      <c r="K3" s="2" t="s">
        <v>91</v>
      </c>
      <c r="L3" s="2" t="s">
        <v>92</v>
      </c>
      <c r="M3" s="2" t="s">
        <v>93</v>
      </c>
      <c r="N3" s="2" t="s">
        <v>94</v>
      </c>
      <c r="O3" s="2" t="s">
        <v>95</v>
      </c>
      <c r="P3" s="2" t="s">
        <v>56</v>
      </c>
      <c r="Q3" s="2" t="s">
        <v>96</v>
      </c>
      <c r="R3" s="2" t="s">
        <v>56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62</v>
      </c>
      <c r="Y3" s="2" t="s">
        <v>102</v>
      </c>
      <c r="Z3" s="2" t="s">
        <v>56</v>
      </c>
      <c r="AA3" s="2" t="s">
        <v>103</v>
      </c>
      <c r="AB3" s="2" t="s">
        <v>103</v>
      </c>
      <c r="AC3" s="2" t="s">
        <v>104</v>
      </c>
      <c r="AD3" s="2" t="s">
        <v>105</v>
      </c>
      <c r="AE3" s="2" t="s">
        <v>106</v>
      </c>
      <c r="AF3" s="2" t="s">
        <v>107</v>
      </c>
      <c r="AG3" s="2" t="s">
        <v>76</v>
      </c>
      <c r="AH3" s="3" t="n">
        <v>3826.92</v>
      </c>
      <c r="AI3" s="2" t="s">
        <v>77</v>
      </c>
      <c r="AJ3" s="2" t="s">
        <v>108</v>
      </c>
      <c r="AK3" s="2" t="s">
        <v>109</v>
      </c>
      <c r="AL3" s="2" t="s">
        <v>80</v>
      </c>
      <c r="AM3" s="2" t="s">
        <v>110</v>
      </c>
      <c r="AN3" s="2" t="s">
        <v>110</v>
      </c>
      <c r="AO3" s="2" t="s">
        <v>56</v>
      </c>
      <c r="AP3" s="2" t="s">
        <v>82</v>
      </c>
      <c r="AQ3" s="2" t="s">
        <v>82</v>
      </c>
      <c r="AR3" s="2" t="s">
        <v>76</v>
      </c>
      <c r="AS3" s="2" t="s">
        <v>111</v>
      </c>
      <c r="AT3" s="2" t="s">
        <v>112</v>
      </c>
      <c r="AU3" s="2" t="s">
        <v>112</v>
      </c>
      <c r="AV3" s="2" t="s">
        <v>85</v>
      </c>
      <c r="AW3" s="2" t="s">
        <v>107</v>
      </c>
      <c r="AX3" s="2" t="s">
        <v>113</v>
      </c>
    </row>
    <row r="4" customFormat="false" ht="15" hidden="false" customHeight="false" outlineLevel="0" collapsed="false">
      <c r="A4" s="2" t="s">
        <v>50</v>
      </c>
      <c r="B4" s="2" t="s">
        <v>114</v>
      </c>
      <c r="C4" s="2" t="s">
        <v>52</v>
      </c>
      <c r="D4" s="2" t="s">
        <v>115</v>
      </c>
      <c r="E4" s="2" t="s">
        <v>54</v>
      </c>
      <c r="F4" s="2" t="s">
        <v>116</v>
      </c>
      <c r="G4" s="2" t="s">
        <v>56</v>
      </c>
      <c r="H4" s="2" t="s">
        <v>57</v>
      </c>
      <c r="I4" s="2" t="s">
        <v>117</v>
      </c>
      <c r="J4" s="2" t="s">
        <v>56</v>
      </c>
      <c r="K4" s="2" t="s">
        <v>118</v>
      </c>
      <c r="L4" s="2" t="s">
        <v>119</v>
      </c>
      <c r="M4" s="2" t="s">
        <v>120</v>
      </c>
      <c r="N4" s="2" t="s">
        <v>121</v>
      </c>
      <c r="O4" s="2" t="s">
        <v>122</v>
      </c>
      <c r="P4" s="2" t="s">
        <v>56</v>
      </c>
      <c r="Q4" s="2" t="s">
        <v>123</v>
      </c>
      <c r="R4" s="2" t="s">
        <v>56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62</v>
      </c>
      <c r="Y4" s="2" t="s">
        <v>129</v>
      </c>
      <c r="Z4" s="2" t="s">
        <v>56</v>
      </c>
      <c r="AA4" s="2" t="s">
        <v>130</v>
      </c>
      <c r="AB4" s="2" t="s">
        <v>130</v>
      </c>
      <c r="AC4" s="2" t="s">
        <v>131</v>
      </c>
      <c r="AD4" s="2" t="s">
        <v>132</v>
      </c>
      <c r="AE4" s="2" t="s">
        <v>133</v>
      </c>
      <c r="AF4" s="2" t="s">
        <v>134</v>
      </c>
      <c r="AG4" s="2" t="s">
        <v>76</v>
      </c>
      <c r="AH4" s="3" t="n">
        <v>5615.38</v>
      </c>
      <c r="AI4" s="2" t="s">
        <v>77</v>
      </c>
      <c r="AJ4" s="2" t="s">
        <v>135</v>
      </c>
      <c r="AK4" s="2" t="s">
        <v>79</v>
      </c>
      <c r="AL4" s="2" t="s">
        <v>80</v>
      </c>
      <c r="AM4" s="2" t="s">
        <v>136</v>
      </c>
      <c r="AN4" s="2" t="s">
        <v>136</v>
      </c>
      <c r="AO4" s="2" t="s">
        <v>56</v>
      </c>
      <c r="AP4" s="2" t="s">
        <v>82</v>
      </c>
      <c r="AQ4" s="2" t="s">
        <v>82</v>
      </c>
      <c r="AR4" s="2" t="s">
        <v>76</v>
      </c>
      <c r="AS4" s="2" t="s">
        <v>137</v>
      </c>
      <c r="AT4" s="2" t="s">
        <v>138</v>
      </c>
      <c r="AU4" s="2" t="s">
        <v>138</v>
      </c>
      <c r="AV4" s="2" t="s">
        <v>85</v>
      </c>
      <c r="AW4" s="2" t="s">
        <v>134</v>
      </c>
      <c r="AX4" s="2" t="s">
        <v>139</v>
      </c>
    </row>
    <row r="5" customFormat="false" ht="15" hidden="false" customHeight="false" outlineLevel="0" collapsed="false">
      <c r="A5" s="2" t="s">
        <v>50</v>
      </c>
      <c r="B5" s="2" t="s">
        <v>140</v>
      </c>
      <c r="C5" s="2" t="s">
        <v>52</v>
      </c>
      <c r="D5" s="2" t="s">
        <v>141</v>
      </c>
      <c r="E5" s="2" t="s">
        <v>54</v>
      </c>
      <c r="F5" s="2" t="s">
        <v>142</v>
      </c>
      <c r="G5" s="2" t="s">
        <v>56</v>
      </c>
      <c r="H5" s="2" t="s">
        <v>57</v>
      </c>
      <c r="I5" s="2" t="s">
        <v>143</v>
      </c>
      <c r="J5" s="2" t="s">
        <v>56</v>
      </c>
      <c r="K5" s="2" t="s">
        <v>144</v>
      </c>
      <c r="L5" s="2"/>
      <c r="M5" s="2" t="s">
        <v>145</v>
      </c>
      <c r="N5" s="2" t="s">
        <v>146</v>
      </c>
      <c r="O5" s="2" t="s">
        <v>147</v>
      </c>
      <c r="P5" s="2" t="s">
        <v>56</v>
      </c>
      <c r="Q5" s="2" t="s">
        <v>148</v>
      </c>
      <c r="R5" s="2" t="s">
        <v>56</v>
      </c>
      <c r="S5" s="2" t="s">
        <v>149</v>
      </c>
      <c r="T5" s="2" t="s">
        <v>150</v>
      </c>
      <c r="U5" s="2" t="s">
        <v>151</v>
      </c>
      <c r="V5" s="2" t="s">
        <v>152</v>
      </c>
      <c r="W5" s="2" t="s">
        <v>153</v>
      </c>
      <c r="X5" s="2" t="s">
        <v>62</v>
      </c>
      <c r="Y5" s="2" t="s">
        <v>154</v>
      </c>
      <c r="Z5" s="2" t="s">
        <v>56</v>
      </c>
      <c r="AA5" s="2" t="s">
        <v>155</v>
      </c>
      <c r="AB5" s="2" t="s">
        <v>155</v>
      </c>
      <c r="AC5" s="2" t="s">
        <v>156</v>
      </c>
      <c r="AD5" s="2" t="s">
        <v>157</v>
      </c>
      <c r="AE5" s="2" t="s">
        <v>158</v>
      </c>
      <c r="AF5" s="2" t="s">
        <v>159</v>
      </c>
      <c r="AG5" s="2" t="s">
        <v>76</v>
      </c>
      <c r="AH5" s="3" t="n">
        <v>2788.46</v>
      </c>
      <c r="AI5" s="2" t="s">
        <v>77</v>
      </c>
      <c r="AJ5" s="2" t="s">
        <v>160</v>
      </c>
      <c r="AK5" s="2" t="s">
        <v>109</v>
      </c>
      <c r="AL5" s="2" t="s">
        <v>80</v>
      </c>
      <c r="AM5" s="2" t="s">
        <v>161</v>
      </c>
      <c r="AN5" s="2" t="s">
        <v>161</v>
      </c>
      <c r="AO5" s="2" t="s">
        <v>56</v>
      </c>
      <c r="AP5" s="2" t="s">
        <v>82</v>
      </c>
      <c r="AQ5" s="2" t="s">
        <v>82</v>
      </c>
      <c r="AR5" s="2" t="s">
        <v>76</v>
      </c>
      <c r="AS5" s="2" t="s">
        <v>137</v>
      </c>
      <c r="AT5" s="2" t="s">
        <v>138</v>
      </c>
      <c r="AU5" s="2" t="s">
        <v>138</v>
      </c>
      <c r="AV5" s="2" t="s">
        <v>85</v>
      </c>
      <c r="AW5" s="2" t="s">
        <v>159</v>
      </c>
      <c r="AX5" s="2" t="s">
        <v>162</v>
      </c>
    </row>
    <row r="6" customFormat="false" ht="15" hidden="false" customHeight="false" outlineLevel="0" collapsed="false">
      <c r="A6" s="2" t="s">
        <v>50</v>
      </c>
      <c r="B6" s="2" t="s">
        <v>163</v>
      </c>
      <c r="C6" s="2" t="s">
        <v>52</v>
      </c>
      <c r="D6" s="2" t="s">
        <v>164</v>
      </c>
      <c r="E6" s="2" t="s">
        <v>54</v>
      </c>
      <c r="F6" s="2" t="s">
        <v>165</v>
      </c>
      <c r="G6" s="2" t="s">
        <v>56</v>
      </c>
      <c r="H6" s="2" t="s">
        <v>57</v>
      </c>
      <c r="I6" s="2" t="s">
        <v>166</v>
      </c>
      <c r="J6" s="2" t="s">
        <v>56</v>
      </c>
      <c r="K6" s="2" t="s">
        <v>167</v>
      </c>
      <c r="L6" s="2" t="s">
        <v>168</v>
      </c>
      <c r="M6" s="2" t="s">
        <v>169</v>
      </c>
      <c r="N6" s="2" t="s">
        <v>170</v>
      </c>
      <c r="O6" s="2" t="s">
        <v>171</v>
      </c>
      <c r="P6" s="2" t="s">
        <v>56</v>
      </c>
      <c r="Q6" s="2" t="s">
        <v>172</v>
      </c>
      <c r="R6" s="2" t="s">
        <v>56</v>
      </c>
      <c r="S6" s="2" t="s">
        <v>173</v>
      </c>
      <c r="T6" s="2" t="s">
        <v>174</v>
      </c>
      <c r="U6" s="2" t="s">
        <v>175</v>
      </c>
      <c r="V6" s="2" t="s">
        <v>176</v>
      </c>
      <c r="W6" s="2" t="s">
        <v>177</v>
      </c>
      <c r="X6" s="2" t="s">
        <v>62</v>
      </c>
      <c r="Y6" s="2" t="s">
        <v>178</v>
      </c>
      <c r="Z6" s="2" t="s">
        <v>56</v>
      </c>
      <c r="AA6" s="2" t="s">
        <v>179</v>
      </c>
      <c r="AB6" s="2" t="s">
        <v>179</v>
      </c>
      <c r="AC6" s="2" t="s">
        <v>180</v>
      </c>
      <c r="AD6" s="2" t="s">
        <v>73</v>
      </c>
      <c r="AE6" s="2" t="s">
        <v>181</v>
      </c>
      <c r="AF6" s="2" t="s">
        <v>182</v>
      </c>
      <c r="AG6" s="2" t="s">
        <v>76</v>
      </c>
      <c r="AH6" s="3" t="n">
        <v>4884.62</v>
      </c>
      <c r="AI6" s="2" t="s">
        <v>77</v>
      </c>
      <c r="AJ6" s="2" t="s">
        <v>183</v>
      </c>
      <c r="AK6" s="2" t="s">
        <v>79</v>
      </c>
      <c r="AL6" s="2" t="s">
        <v>80</v>
      </c>
      <c r="AM6" s="2" t="s">
        <v>184</v>
      </c>
      <c r="AN6" s="2" t="s">
        <v>184</v>
      </c>
      <c r="AO6" s="2" t="s">
        <v>56</v>
      </c>
      <c r="AP6" s="2" t="s">
        <v>82</v>
      </c>
      <c r="AQ6" s="2" t="s">
        <v>82</v>
      </c>
      <c r="AR6" s="2" t="s">
        <v>76</v>
      </c>
      <c r="AS6" s="2" t="s">
        <v>185</v>
      </c>
      <c r="AT6" s="2" t="s">
        <v>186</v>
      </c>
      <c r="AU6" s="2" t="s">
        <v>186</v>
      </c>
      <c r="AV6" s="2" t="s">
        <v>85</v>
      </c>
      <c r="AW6" s="2" t="s">
        <v>182</v>
      </c>
      <c r="AX6" s="2" t="s">
        <v>187</v>
      </c>
    </row>
    <row r="7" customFormat="false" ht="15" hidden="false" customHeight="false" outlineLevel="0" collapsed="false">
      <c r="A7" s="2" t="s">
        <v>50</v>
      </c>
      <c r="B7" s="2" t="s">
        <v>188</v>
      </c>
      <c r="C7" s="2" t="s">
        <v>52</v>
      </c>
      <c r="D7" s="2" t="s">
        <v>189</v>
      </c>
      <c r="E7" s="2" t="s">
        <v>54</v>
      </c>
      <c r="F7" s="2" t="s">
        <v>190</v>
      </c>
      <c r="G7" s="2" t="s">
        <v>56</v>
      </c>
      <c r="H7" s="2" t="s">
        <v>57</v>
      </c>
      <c r="I7" s="2" t="s">
        <v>191</v>
      </c>
      <c r="J7" s="2" t="s">
        <v>56</v>
      </c>
      <c r="K7" s="2" t="s">
        <v>192</v>
      </c>
      <c r="L7" s="2"/>
      <c r="M7" s="2" t="s">
        <v>177</v>
      </c>
      <c r="N7" s="2" t="s">
        <v>62</v>
      </c>
      <c r="O7" s="2" t="s">
        <v>193</v>
      </c>
      <c r="P7" s="2" t="s">
        <v>56</v>
      </c>
      <c r="Q7" s="2" t="s">
        <v>194</v>
      </c>
      <c r="R7" s="2" t="s">
        <v>56</v>
      </c>
      <c r="S7" s="2" t="s">
        <v>195</v>
      </c>
      <c r="T7" s="2" t="s">
        <v>196</v>
      </c>
      <c r="U7" s="2" t="s">
        <v>197</v>
      </c>
      <c r="V7" s="2" t="s">
        <v>198</v>
      </c>
      <c r="W7" s="2" t="s">
        <v>199</v>
      </c>
      <c r="X7" s="2" t="s">
        <v>62</v>
      </c>
      <c r="Y7" s="2" t="s">
        <v>200</v>
      </c>
      <c r="Z7" s="2" t="s">
        <v>56</v>
      </c>
      <c r="AA7" s="2" t="s">
        <v>201</v>
      </c>
      <c r="AB7" s="2" t="s">
        <v>201</v>
      </c>
      <c r="AC7" s="2" t="s">
        <v>202</v>
      </c>
      <c r="AD7" s="2" t="s">
        <v>105</v>
      </c>
      <c r="AE7" s="2" t="s">
        <v>203</v>
      </c>
      <c r="AF7" s="2" t="s">
        <v>204</v>
      </c>
      <c r="AG7" s="2" t="s">
        <v>76</v>
      </c>
      <c r="AH7" s="3" t="n">
        <v>4153.85</v>
      </c>
      <c r="AI7" s="2" t="s">
        <v>77</v>
      </c>
      <c r="AJ7" s="2" t="s">
        <v>205</v>
      </c>
      <c r="AK7" s="2" t="s">
        <v>109</v>
      </c>
      <c r="AL7" s="2" t="s">
        <v>80</v>
      </c>
      <c r="AM7" s="2" t="s">
        <v>206</v>
      </c>
      <c r="AN7" s="2" t="s">
        <v>206</v>
      </c>
      <c r="AO7" s="2" t="s">
        <v>56</v>
      </c>
      <c r="AP7" s="2" t="s">
        <v>82</v>
      </c>
      <c r="AQ7" s="2" t="s">
        <v>82</v>
      </c>
      <c r="AR7" s="2" t="s">
        <v>76</v>
      </c>
      <c r="AS7" s="2" t="s">
        <v>111</v>
      </c>
      <c r="AT7" s="2" t="s">
        <v>112</v>
      </c>
      <c r="AU7" s="2" t="s">
        <v>112</v>
      </c>
      <c r="AV7" s="2" t="s">
        <v>85</v>
      </c>
      <c r="AW7" s="2" t="s">
        <v>204</v>
      </c>
      <c r="AX7" s="2" t="s">
        <v>207</v>
      </c>
    </row>
    <row r="8" customFormat="false" ht="15" hidden="false" customHeight="false" outlineLevel="0" collapsed="false">
      <c r="A8" s="2" t="s">
        <v>50</v>
      </c>
      <c r="B8" s="2" t="s">
        <v>208</v>
      </c>
      <c r="C8" s="2" t="s">
        <v>52</v>
      </c>
      <c r="D8" s="2" t="s">
        <v>209</v>
      </c>
      <c r="E8" s="2" t="s">
        <v>54</v>
      </c>
      <c r="F8" s="2" t="s">
        <v>210</v>
      </c>
      <c r="G8" s="2" t="s">
        <v>56</v>
      </c>
      <c r="H8" s="2" t="s">
        <v>57</v>
      </c>
      <c r="I8" s="2" t="s">
        <v>211</v>
      </c>
      <c r="J8" s="2" t="s">
        <v>56</v>
      </c>
      <c r="K8" s="2" t="s">
        <v>212</v>
      </c>
      <c r="L8" s="2" t="s">
        <v>213</v>
      </c>
      <c r="M8" s="2" t="s">
        <v>214</v>
      </c>
      <c r="N8" s="2" t="s">
        <v>215</v>
      </c>
      <c r="O8" s="2" t="s">
        <v>216</v>
      </c>
      <c r="P8" s="2" t="s">
        <v>56</v>
      </c>
      <c r="Q8" s="2" t="s">
        <v>217</v>
      </c>
      <c r="R8" s="2" t="s">
        <v>56</v>
      </c>
      <c r="S8" s="2" t="s">
        <v>218</v>
      </c>
      <c r="T8" s="2" t="s">
        <v>219</v>
      </c>
      <c r="U8" s="2" t="s">
        <v>220</v>
      </c>
      <c r="V8" s="2" t="s">
        <v>221</v>
      </c>
      <c r="W8" s="2" t="s">
        <v>222</v>
      </c>
      <c r="X8" s="2" t="s">
        <v>62</v>
      </c>
      <c r="Y8" s="2" t="s">
        <v>223</v>
      </c>
      <c r="Z8" s="2" t="s">
        <v>56</v>
      </c>
      <c r="AA8" s="2" t="s">
        <v>224</v>
      </c>
      <c r="AB8" s="2" t="s">
        <v>224</v>
      </c>
      <c r="AC8" s="2" t="s">
        <v>225</v>
      </c>
      <c r="AD8" s="2" t="s">
        <v>132</v>
      </c>
      <c r="AE8" s="2" t="s">
        <v>226</v>
      </c>
      <c r="AF8" s="2" t="s">
        <v>227</v>
      </c>
      <c r="AG8" s="2" t="s">
        <v>76</v>
      </c>
      <c r="AH8" s="3" t="n">
        <v>3326.92</v>
      </c>
      <c r="AI8" s="2" t="s">
        <v>77</v>
      </c>
      <c r="AJ8" s="2" t="s">
        <v>228</v>
      </c>
      <c r="AK8" s="2" t="s">
        <v>79</v>
      </c>
      <c r="AL8" s="2" t="s">
        <v>80</v>
      </c>
      <c r="AM8" s="2" t="s">
        <v>229</v>
      </c>
      <c r="AN8" s="2" t="s">
        <v>229</v>
      </c>
      <c r="AO8" s="2" t="s">
        <v>56</v>
      </c>
      <c r="AP8" s="2" t="s">
        <v>82</v>
      </c>
      <c r="AQ8" s="2" t="s">
        <v>82</v>
      </c>
      <c r="AR8" s="2" t="s">
        <v>76</v>
      </c>
      <c r="AS8" s="2" t="s">
        <v>230</v>
      </c>
      <c r="AT8" s="2" t="s">
        <v>231</v>
      </c>
      <c r="AU8" s="2" t="s">
        <v>231</v>
      </c>
      <c r="AV8" s="2" t="s">
        <v>85</v>
      </c>
      <c r="AW8" s="2" t="s">
        <v>227</v>
      </c>
      <c r="AX8" s="2" t="s">
        <v>232</v>
      </c>
    </row>
    <row r="9" customFormat="false" ht="15" hidden="false" customHeight="false" outlineLevel="0" collapsed="false">
      <c r="A9" s="2" t="s">
        <v>50</v>
      </c>
      <c r="B9" s="2" t="s">
        <v>233</v>
      </c>
      <c r="C9" s="2" t="s">
        <v>52</v>
      </c>
      <c r="D9" s="2" t="s">
        <v>234</v>
      </c>
      <c r="E9" s="2" t="s">
        <v>54</v>
      </c>
      <c r="F9" s="2" t="s">
        <v>235</v>
      </c>
      <c r="G9" s="2" t="s">
        <v>56</v>
      </c>
      <c r="H9" s="2" t="s">
        <v>57</v>
      </c>
      <c r="I9" s="2" t="s">
        <v>236</v>
      </c>
      <c r="J9" s="2" t="s">
        <v>56</v>
      </c>
      <c r="K9" s="2" t="s">
        <v>237</v>
      </c>
      <c r="L9" s="2" t="s">
        <v>238</v>
      </c>
      <c r="M9" s="2" t="s">
        <v>199</v>
      </c>
      <c r="N9" s="2" t="s">
        <v>62</v>
      </c>
      <c r="O9" s="2" t="s">
        <v>239</v>
      </c>
      <c r="P9" s="2" t="s">
        <v>56</v>
      </c>
      <c r="Q9" s="2" t="s">
        <v>240</v>
      </c>
      <c r="R9" s="2" t="s">
        <v>56</v>
      </c>
      <c r="S9" s="2" t="s">
        <v>241</v>
      </c>
      <c r="T9" s="2" t="s">
        <v>242</v>
      </c>
      <c r="U9" s="2" t="s">
        <v>243</v>
      </c>
      <c r="V9" s="2" t="s">
        <v>244</v>
      </c>
      <c r="W9" s="2" t="s">
        <v>245</v>
      </c>
      <c r="X9" s="2" t="s">
        <v>62</v>
      </c>
      <c r="Y9" s="2" t="s">
        <v>246</v>
      </c>
      <c r="Z9" s="2" t="s">
        <v>56</v>
      </c>
      <c r="AA9" s="2" t="s">
        <v>247</v>
      </c>
      <c r="AB9" s="2" t="s">
        <v>247</v>
      </c>
      <c r="AC9" s="2" t="s">
        <v>248</v>
      </c>
      <c r="AD9" s="2" t="s">
        <v>249</v>
      </c>
      <c r="AE9" s="2" t="s">
        <v>250</v>
      </c>
      <c r="AF9" s="2" t="s">
        <v>251</v>
      </c>
      <c r="AG9" s="2" t="s">
        <v>76</v>
      </c>
      <c r="AH9" s="3" t="n">
        <v>3500</v>
      </c>
      <c r="AI9" s="2" t="s">
        <v>77</v>
      </c>
      <c r="AJ9" s="2" t="s">
        <v>252</v>
      </c>
      <c r="AK9" s="2" t="s">
        <v>109</v>
      </c>
      <c r="AL9" s="2" t="s">
        <v>80</v>
      </c>
      <c r="AM9" s="2" t="s">
        <v>253</v>
      </c>
      <c r="AN9" s="2" t="s">
        <v>253</v>
      </c>
      <c r="AO9" s="2" t="s">
        <v>56</v>
      </c>
      <c r="AP9" s="2" t="s">
        <v>82</v>
      </c>
      <c r="AQ9" s="2" t="s">
        <v>82</v>
      </c>
      <c r="AR9" s="2" t="s">
        <v>76</v>
      </c>
      <c r="AS9" s="2" t="s">
        <v>254</v>
      </c>
      <c r="AT9" s="2" t="s">
        <v>255</v>
      </c>
      <c r="AU9" s="2" t="s">
        <v>255</v>
      </c>
      <c r="AV9" s="2" t="s">
        <v>85</v>
      </c>
      <c r="AW9" s="2" t="s">
        <v>251</v>
      </c>
      <c r="AX9" s="2" t="s">
        <v>256</v>
      </c>
    </row>
    <row r="10" customFormat="false" ht="15" hidden="false" customHeight="false" outlineLevel="0" collapsed="false">
      <c r="A10" s="2" t="s">
        <v>50</v>
      </c>
      <c r="B10" s="2" t="s">
        <v>257</v>
      </c>
      <c r="C10" s="2" t="s">
        <v>52</v>
      </c>
      <c r="D10" s="2" t="s">
        <v>258</v>
      </c>
      <c r="E10" s="2" t="s">
        <v>54</v>
      </c>
      <c r="F10" s="2" t="s">
        <v>259</v>
      </c>
      <c r="G10" s="2" t="s">
        <v>56</v>
      </c>
      <c r="H10" s="2" t="s">
        <v>57</v>
      </c>
      <c r="I10" s="2" t="s">
        <v>260</v>
      </c>
      <c r="J10" s="2" t="s">
        <v>56</v>
      </c>
      <c r="K10" s="2" t="s">
        <v>261</v>
      </c>
      <c r="L10" s="2" t="s">
        <v>262</v>
      </c>
      <c r="M10" s="2" t="s">
        <v>263</v>
      </c>
      <c r="N10" s="2" t="s">
        <v>264</v>
      </c>
      <c r="O10" s="2" t="s">
        <v>265</v>
      </c>
      <c r="P10" s="2" t="s">
        <v>56</v>
      </c>
      <c r="Q10" s="2" t="s">
        <v>266</v>
      </c>
      <c r="R10" s="2" t="s">
        <v>56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153</v>
      </c>
      <c r="X10" s="2" t="s">
        <v>62</v>
      </c>
      <c r="Y10" s="2" t="s">
        <v>271</v>
      </c>
      <c r="Z10" s="2" t="s">
        <v>56</v>
      </c>
      <c r="AA10" s="2" t="s">
        <v>272</v>
      </c>
      <c r="AB10" s="2" t="s">
        <v>272</v>
      </c>
      <c r="AC10" s="2" t="s">
        <v>273</v>
      </c>
      <c r="AD10" s="2" t="s">
        <v>73</v>
      </c>
      <c r="AE10" s="2" t="s">
        <v>274</v>
      </c>
      <c r="AF10" s="2" t="s">
        <v>275</v>
      </c>
      <c r="AG10" s="2" t="s">
        <v>76</v>
      </c>
      <c r="AH10" s="3" t="n">
        <v>3134.62</v>
      </c>
      <c r="AI10" s="2" t="s">
        <v>77</v>
      </c>
      <c r="AJ10" s="2" t="s">
        <v>276</v>
      </c>
      <c r="AK10" s="2" t="s">
        <v>79</v>
      </c>
      <c r="AL10" s="2" t="s">
        <v>80</v>
      </c>
      <c r="AM10" s="2" t="s">
        <v>277</v>
      </c>
      <c r="AN10" s="2" t="s">
        <v>277</v>
      </c>
      <c r="AO10" s="2" t="s">
        <v>56</v>
      </c>
      <c r="AP10" s="2" t="s">
        <v>82</v>
      </c>
      <c r="AQ10" s="2" t="s">
        <v>82</v>
      </c>
      <c r="AR10" s="2" t="s">
        <v>76</v>
      </c>
      <c r="AS10" s="2" t="s">
        <v>83</v>
      </c>
      <c r="AT10" s="2" t="s">
        <v>84</v>
      </c>
      <c r="AU10" s="2" t="s">
        <v>84</v>
      </c>
      <c r="AV10" s="2" t="s">
        <v>85</v>
      </c>
      <c r="AW10" s="2" t="s">
        <v>275</v>
      </c>
      <c r="AX10" s="2" t="s">
        <v>278</v>
      </c>
    </row>
    <row r="11" customFormat="false" ht="15" hidden="false" customHeight="false" outlineLevel="0" collapsed="false">
      <c r="A11" s="2" t="s">
        <v>50</v>
      </c>
      <c r="B11" s="2" t="s">
        <v>279</v>
      </c>
      <c r="C11" s="2" t="s">
        <v>52</v>
      </c>
      <c r="D11" s="2" t="s">
        <v>280</v>
      </c>
      <c r="E11" s="2" t="s">
        <v>54</v>
      </c>
      <c r="F11" s="2" t="s">
        <v>281</v>
      </c>
      <c r="G11" s="2" t="s">
        <v>56</v>
      </c>
      <c r="H11" s="2" t="s">
        <v>57</v>
      </c>
      <c r="I11" s="2" t="s">
        <v>282</v>
      </c>
      <c r="J11" s="2" t="s">
        <v>56</v>
      </c>
      <c r="K11" s="2" t="s">
        <v>283</v>
      </c>
      <c r="L11" s="2"/>
      <c r="M11" s="2" t="s">
        <v>284</v>
      </c>
      <c r="N11" s="2" t="s">
        <v>285</v>
      </c>
      <c r="O11" s="2" t="s">
        <v>286</v>
      </c>
      <c r="P11" s="2" t="s">
        <v>56</v>
      </c>
      <c r="Q11" s="2" t="s">
        <v>287</v>
      </c>
      <c r="R11" s="2" t="s">
        <v>56</v>
      </c>
      <c r="S11" s="2" t="s">
        <v>288</v>
      </c>
      <c r="T11" s="2" t="s">
        <v>289</v>
      </c>
      <c r="U11" s="2" t="s">
        <v>290</v>
      </c>
      <c r="V11" s="2" t="s">
        <v>291</v>
      </c>
      <c r="W11" s="2" t="s">
        <v>69</v>
      </c>
      <c r="X11" s="2" t="s">
        <v>62</v>
      </c>
      <c r="Y11" s="2" t="s">
        <v>292</v>
      </c>
      <c r="Z11" s="2" t="s">
        <v>56</v>
      </c>
      <c r="AA11" s="2" t="s">
        <v>293</v>
      </c>
      <c r="AB11" s="2" t="s">
        <v>293</v>
      </c>
      <c r="AC11" s="2" t="s">
        <v>294</v>
      </c>
      <c r="AD11" s="2" t="s">
        <v>105</v>
      </c>
      <c r="AE11" s="2" t="s">
        <v>295</v>
      </c>
      <c r="AF11" s="2" t="s">
        <v>296</v>
      </c>
      <c r="AG11" s="2" t="s">
        <v>76</v>
      </c>
      <c r="AH11" s="3" t="n">
        <v>4730.77</v>
      </c>
      <c r="AI11" s="2" t="s">
        <v>77</v>
      </c>
      <c r="AJ11" s="2" t="s">
        <v>297</v>
      </c>
      <c r="AK11" s="2" t="s">
        <v>109</v>
      </c>
      <c r="AL11" s="2" t="s">
        <v>80</v>
      </c>
      <c r="AM11" s="2" t="s">
        <v>298</v>
      </c>
      <c r="AN11" s="2" t="s">
        <v>298</v>
      </c>
      <c r="AO11" s="2" t="s">
        <v>56</v>
      </c>
      <c r="AP11" s="2" t="s">
        <v>82</v>
      </c>
      <c r="AQ11" s="2" t="s">
        <v>82</v>
      </c>
      <c r="AR11" s="2" t="s">
        <v>76</v>
      </c>
      <c r="AS11" s="2" t="s">
        <v>299</v>
      </c>
      <c r="AT11" s="2" t="s">
        <v>300</v>
      </c>
      <c r="AU11" s="2" t="s">
        <v>300</v>
      </c>
      <c r="AV11" s="2" t="s">
        <v>85</v>
      </c>
      <c r="AW11" s="2" t="s">
        <v>296</v>
      </c>
      <c r="AX11" s="2" t="s">
        <v>301</v>
      </c>
    </row>
  </sheetData>
  <autoFilter ref="A1:AX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33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2" min="11" style="0" width="17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23"/>
  </cols>
  <sheetData>
    <row r="1" customFormat="false" ht="30" hidden="false" customHeight="true" outlineLevel="0" collapsed="false">
      <c r="A1" s="1" t="s">
        <v>1</v>
      </c>
      <c r="B1" s="1" t="s">
        <v>26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313</v>
      </c>
      <c r="O1" s="1" t="s">
        <v>314</v>
      </c>
      <c r="P1" s="1" t="s">
        <v>315</v>
      </c>
      <c r="Q1" s="1" t="s">
        <v>316</v>
      </c>
    </row>
    <row r="2" customFormat="false" ht="15" hidden="false" customHeight="false" outlineLevel="0" collapsed="false">
      <c r="A2" s="2" t="s">
        <v>51</v>
      </c>
      <c r="B2" s="2" t="s">
        <v>71</v>
      </c>
      <c r="C2" s="2" t="s">
        <v>317</v>
      </c>
      <c r="D2" s="2" t="s">
        <v>318</v>
      </c>
      <c r="E2" s="2" t="s">
        <v>319</v>
      </c>
      <c r="F2" s="2" t="s">
        <v>320</v>
      </c>
      <c r="G2" s="2" t="s">
        <v>321</v>
      </c>
      <c r="H2" s="3" t="n">
        <v>64</v>
      </c>
      <c r="I2" s="3"/>
      <c r="J2" s="3" t="n">
        <v>42.31</v>
      </c>
      <c r="K2" s="3" t="n">
        <v>2707.66</v>
      </c>
      <c r="L2" s="3"/>
      <c r="M2" s="3" t="n">
        <v>2707.66</v>
      </c>
      <c r="N2" s="2" t="s">
        <v>322</v>
      </c>
      <c r="O2" s="2" t="s">
        <v>323</v>
      </c>
      <c r="P2" s="2" t="s">
        <v>324</v>
      </c>
      <c r="Q2" s="2" t="s">
        <v>317</v>
      </c>
    </row>
    <row r="3" customFormat="false" ht="15" hidden="false" customHeight="false" outlineLevel="0" collapsed="false">
      <c r="A3" s="2" t="s">
        <v>51</v>
      </c>
      <c r="B3" s="2" t="s">
        <v>71</v>
      </c>
      <c r="C3" s="2" t="s">
        <v>317</v>
      </c>
      <c r="D3" s="2" t="s">
        <v>318</v>
      </c>
      <c r="E3" s="2" t="s">
        <v>325</v>
      </c>
      <c r="F3" s="2" t="s">
        <v>326</v>
      </c>
      <c r="G3" s="2" t="s">
        <v>321</v>
      </c>
      <c r="H3" s="3" t="n">
        <v>16</v>
      </c>
      <c r="I3" s="3"/>
      <c r="J3" s="3" t="n">
        <v>42.31</v>
      </c>
      <c r="K3" s="3" t="n">
        <v>676.96</v>
      </c>
      <c r="L3" s="3"/>
      <c r="M3" s="3" t="n">
        <v>676.96</v>
      </c>
      <c r="N3" s="2" t="s">
        <v>322</v>
      </c>
      <c r="O3" s="2" t="s">
        <v>323</v>
      </c>
      <c r="P3" s="2" t="s">
        <v>327</v>
      </c>
      <c r="Q3" s="2" t="s">
        <v>317</v>
      </c>
    </row>
    <row r="4" customFormat="false" ht="15" hidden="false" customHeight="false" outlineLevel="0" collapsed="false">
      <c r="A4" s="2" t="s">
        <v>51</v>
      </c>
      <c r="B4" s="2" t="s">
        <v>71</v>
      </c>
      <c r="C4" s="2" t="s">
        <v>317</v>
      </c>
      <c r="D4" s="2" t="s">
        <v>318</v>
      </c>
      <c r="E4" s="2" t="s">
        <v>328</v>
      </c>
      <c r="F4" s="2" t="s">
        <v>329</v>
      </c>
      <c r="G4" s="2"/>
      <c r="H4" s="3"/>
      <c r="I4" s="3"/>
      <c r="J4" s="3"/>
      <c r="K4" s="3" t="n">
        <v>7.5</v>
      </c>
      <c r="L4" s="3"/>
      <c r="M4" s="3" t="n">
        <v>7.5</v>
      </c>
      <c r="N4" s="2" t="s">
        <v>322</v>
      </c>
      <c r="O4" s="2" t="s">
        <v>323</v>
      </c>
      <c r="P4" s="2" t="s">
        <v>324</v>
      </c>
      <c r="Q4" s="2" t="s">
        <v>330</v>
      </c>
    </row>
    <row r="5" customFormat="false" ht="15" hidden="false" customHeight="false" outlineLevel="0" collapsed="false">
      <c r="A5" s="2" t="s">
        <v>51</v>
      </c>
      <c r="B5" s="2" t="s">
        <v>71</v>
      </c>
      <c r="C5" s="2" t="s">
        <v>331</v>
      </c>
      <c r="D5" s="2" t="s">
        <v>318</v>
      </c>
      <c r="E5" s="2" t="s">
        <v>332</v>
      </c>
      <c r="F5" s="2" t="s">
        <v>333</v>
      </c>
      <c r="G5" s="2"/>
      <c r="H5" s="3"/>
      <c r="I5" s="3" t="n">
        <v>3034.5</v>
      </c>
      <c r="J5" s="3"/>
      <c r="K5" s="3" t="n">
        <v>345.05</v>
      </c>
      <c r="L5" s="3"/>
      <c r="M5" s="3" t="n">
        <v>345.05</v>
      </c>
      <c r="N5" s="2" t="s">
        <v>322</v>
      </c>
      <c r="O5" s="2" t="s">
        <v>323</v>
      </c>
      <c r="P5" s="2" t="s">
        <v>324</v>
      </c>
      <c r="Q5" s="2" t="s">
        <v>334</v>
      </c>
    </row>
    <row r="6" customFormat="false" ht="15" hidden="false" customHeight="false" outlineLevel="0" collapsed="false">
      <c r="A6" s="2" t="s">
        <v>51</v>
      </c>
      <c r="B6" s="2" t="s">
        <v>71</v>
      </c>
      <c r="C6" s="2" t="s">
        <v>331</v>
      </c>
      <c r="D6" s="2" t="s">
        <v>318</v>
      </c>
      <c r="E6" s="2" t="s">
        <v>335</v>
      </c>
      <c r="F6" s="2" t="s">
        <v>336</v>
      </c>
      <c r="G6" s="2"/>
      <c r="H6" s="3"/>
      <c r="I6" s="3" t="n">
        <v>3305.27</v>
      </c>
      <c r="J6" s="3"/>
      <c r="K6" s="3" t="n">
        <v>47.93</v>
      </c>
      <c r="L6" s="3"/>
      <c r="M6" s="3" t="n">
        <v>47.93</v>
      </c>
      <c r="N6" s="2" t="s">
        <v>322</v>
      </c>
      <c r="O6" s="2" t="s">
        <v>323</v>
      </c>
      <c r="P6" s="2" t="s">
        <v>337</v>
      </c>
      <c r="Q6" s="2" t="s">
        <v>334</v>
      </c>
    </row>
    <row r="7" customFormat="false" ht="15" hidden="false" customHeight="false" outlineLevel="0" collapsed="false">
      <c r="A7" s="2" t="s">
        <v>51</v>
      </c>
      <c r="B7" s="2" t="s">
        <v>71</v>
      </c>
      <c r="C7" s="2" t="s">
        <v>331</v>
      </c>
      <c r="D7" s="2" t="s">
        <v>318</v>
      </c>
      <c r="E7" s="2" t="s">
        <v>338</v>
      </c>
      <c r="F7" s="2" t="s">
        <v>339</v>
      </c>
      <c r="G7" s="2"/>
      <c r="H7" s="3"/>
      <c r="I7" s="3" t="n">
        <v>3305.27</v>
      </c>
      <c r="J7" s="3"/>
      <c r="K7" s="3" t="n">
        <v>204.93</v>
      </c>
      <c r="L7" s="3"/>
      <c r="M7" s="3" t="n">
        <v>204.93</v>
      </c>
      <c r="N7" s="2" t="s">
        <v>322</v>
      </c>
      <c r="O7" s="2" t="s">
        <v>323</v>
      </c>
      <c r="P7" s="2" t="s">
        <v>324</v>
      </c>
      <c r="Q7" s="2" t="s">
        <v>334</v>
      </c>
    </row>
    <row r="8" customFormat="false" ht="15" hidden="false" customHeight="false" outlineLevel="0" collapsed="false">
      <c r="A8" s="2" t="s">
        <v>51</v>
      </c>
      <c r="B8" s="2" t="s">
        <v>71</v>
      </c>
      <c r="C8" s="2" t="s">
        <v>331</v>
      </c>
      <c r="D8" s="2" t="s">
        <v>318</v>
      </c>
      <c r="E8" s="2" t="s">
        <v>340</v>
      </c>
      <c r="F8" s="2" t="s">
        <v>341</v>
      </c>
      <c r="G8" s="2"/>
      <c r="H8" s="3"/>
      <c r="I8" s="3" t="n">
        <v>3392.12</v>
      </c>
      <c r="J8" s="3"/>
      <c r="K8" s="3" t="n">
        <v>20.35</v>
      </c>
      <c r="L8" s="3"/>
      <c r="M8" s="3" t="n">
        <v>20.35</v>
      </c>
      <c r="N8" s="2" t="s">
        <v>322</v>
      </c>
      <c r="O8" s="2" t="s">
        <v>323</v>
      </c>
      <c r="P8" s="2" t="s">
        <v>337</v>
      </c>
      <c r="Q8" s="2" t="s">
        <v>334</v>
      </c>
    </row>
    <row r="9" customFormat="false" ht="15" hidden="false" customHeight="false" outlineLevel="0" collapsed="false">
      <c r="A9" s="2" t="s">
        <v>51</v>
      </c>
      <c r="B9" s="2" t="s">
        <v>71</v>
      </c>
      <c r="C9" s="2" t="s">
        <v>331</v>
      </c>
      <c r="D9" s="2" t="s">
        <v>318</v>
      </c>
      <c r="E9" s="2" t="s">
        <v>342</v>
      </c>
      <c r="F9" s="2" t="s">
        <v>343</v>
      </c>
      <c r="G9" s="2"/>
      <c r="H9" s="3"/>
      <c r="I9" s="3" t="n">
        <v>3034.5</v>
      </c>
      <c r="J9" s="3"/>
      <c r="K9" s="3" t="n">
        <v>224.4</v>
      </c>
      <c r="L9" s="3"/>
      <c r="M9" s="3" t="n">
        <v>224.4</v>
      </c>
      <c r="N9" s="2" t="s">
        <v>322</v>
      </c>
      <c r="O9" s="2" t="s">
        <v>323</v>
      </c>
      <c r="P9" s="2" t="s">
        <v>324</v>
      </c>
      <c r="Q9" s="2" t="s">
        <v>334</v>
      </c>
    </row>
    <row r="10" customFormat="false" ht="15" hidden="false" customHeight="false" outlineLevel="0" collapsed="false">
      <c r="A10" s="2" t="s">
        <v>51</v>
      </c>
      <c r="B10" s="2" t="s">
        <v>71</v>
      </c>
      <c r="C10" s="2" t="s">
        <v>331</v>
      </c>
      <c r="D10" s="2" t="s">
        <v>318</v>
      </c>
      <c r="E10" s="2" t="s">
        <v>344</v>
      </c>
      <c r="F10" s="2" t="s">
        <v>345</v>
      </c>
      <c r="G10" s="2"/>
      <c r="H10" s="3"/>
      <c r="I10" s="3" t="n">
        <v>3392.12</v>
      </c>
      <c r="J10" s="3"/>
      <c r="K10" s="3" t="n">
        <v>3.39</v>
      </c>
      <c r="L10" s="3"/>
      <c r="M10" s="3" t="n">
        <v>3.39</v>
      </c>
      <c r="N10" s="2" t="s">
        <v>322</v>
      </c>
      <c r="O10" s="2" t="s">
        <v>323</v>
      </c>
      <c r="P10" s="2" t="s">
        <v>324</v>
      </c>
      <c r="Q10" s="2" t="s">
        <v>334</v>
      </c>
    </row>
    <row r="11" customFormat="false" ht="15" hidden="false" customHeight="false" outlineLevel="0" collapsed="false">
      <c r="A11" s="2" t="s">
        <v>51</v>
      </c>
      <c r="B11" s="2" t="s">
        <v>71</v>
      </c>
      <c r="C11" s="2" t="s">
        <v>331</v>
      </c>
      <c r="D11" s="2" t="s">
        <v>318</v>
      </c>
      <c r="E11" s="2" t="s">
        <v>346</v>
      </c>
      <c r="F11" s="2" t="s">
        <v>347</v>
      </c>
      <c r="G11" s="2"/>
      <c r="H11" s="3"/>
      <c r="I11" s="3"/>
      <c r="J11" s="3"/>
      <c r="K11" s="3" t="n">
        <v>270.77</v>
      </c>
      <c r="L11" s="3"/>
      <c r="M11" s="3" t="n">
        <v>270.77</v>
      </c>
      <c r="N11" s="2" t="s">
        <v>322</v>
      </c>
      <c r="O11" s="2" t="s">
        <v>348</v>
      </c>
      <c r="P11" s="2" t="s">
        <v>349</v>
      </c>
      <c r="Q11" s="2" t="s">
        <v>350</v>
      </c>
    </row>
    <row r="12" customFormat="false" ht="15" hidden="false" customHeight="false" outlineLevel="0" collapsed="false">
      <c r="A12" s="2" t="s">
        <v>51</v>
      </c>
      <c r="B12" s="2" t="s">
        <v>71</v>
      </c>
      <c r="C12" s="2" t="s">
        <v>331</v>
      </c>
      <c r="D12" s="2" t="s">
        <v>318</v>
      </c>
      <c r="E12" s="2" t="s">
        <v>351</v>
      </c>
      <c r="F12" s="2" t="s">
        <v>352</v>
      </c>
      <c r="G12" s="2"/>
      <c r="H12" s="3"/>
      <c r="I12" s="3"/>
      <c r="J12" s="3"/>
      <c r="K12" s="3" t="n">
        <v>4.6</v>
      </c>
      <c r="L12" s="3"/>
      <c r="M12" s="3" t="n">
        <v>4.6</v>
      </c>
      <c r="N12" s="2" t="s">
        <v>322</v>
      </c>
      <c r="O12" s="2" t="s">
        <v>348</v>
      </c>
      <c r="P12" s="2" t="s">
        <v>337</v>
      </c>
      <c r="Q12" s="2" t="s">
        <v>350</v>
      </c>
    </row>
    <row r="13" customFormat="false" ht="15" hidden="false" customHeight="false" outlineLevel="0" collapsed="false">
      <c r="A13" s="2" t="s">
        <v>51</v>
      </c>
      <c r="B13" s="2" t="s">
        <v>71</v>
      </c>
      <c r="C13" s="2" t="s">
        <v>331</v>
      </c>
      <c r="D13" s="2" t="s">
        <v>318</v>
      </c>
      <c r="E13" s="2" t="s">
        <v>353</v>
      </c>
      <c r="F13" s="2" t="s">
        <v>354</v>
      </c>
      <c r="G13" s="2"/>
      <c r="H13" s="3"/>
      <c r="I13" s="3"/>
      <c r="J13" s="3"/>
      <c r="K13" s="3" t="n">
        <v>10.85</v>
      </c>
      <c r="L13" s="3"/>
      <c r="M13" s="3" t="n">
        <v>10.85</v>
      </c>
      <c r="N13" s="2" t="s">
        <v>322</v>
      </c>
      <c r="O13" s="2" t="s">
        <v>348</v>
      </c>
      <c r="P13" s="2" t="s">
        <v>337</v>
      </c>
      <c r="Q13" s="2" t="s">
        <v>350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331</v>
      </c>
      <c r="D14" s="2" t="s">
        <v>318</v>
      </c>
      <c r="E14" s="2" t="s">
        <v>355</v>
      </c>
      <c r="F14" s="2" t="s">
        <v>356</v>
      </c>
      <c r="G14" s="2"/>
      <c r="H14" s="3"/>
      <c r="I14" s="3"/>
      <c r="J14" s="3"/>
      <c r="K14" s="3" t="n">
        <v>71.4</v>
      </c>
      <c r="L14" s="3"/>
      <c r="M14" s="3" t="n">
        <v>71.4</v>
      </c>
      <c r="N14" s="2" t="s">
        <v>322</v>
      </c>
      <c r="O14" s="2" t="s">
        <v>348</v>
      </c>
      <c r="P14" s="2" t="s">
        <v>337</v>
      </c>
      <c r="Q14" s="2" t="s">
        <v>350</v>
      </c>
    </row>
    <row r="15" customFormat="false" ht="15" hidden="false" customHeight="false" outlineLevel="0" collapsed="false">
      <c r="A15" s="2" t="s">
        <v>51</v>
      </c>
      <c r="B15" s="2" t="s">
        <v>71</v>
      </c>
      <c r="C15" s="2" t="s">
        <v>357</v>
      </c>
      <c r="D15" s="2" t="s">
        <v>318</v>
      </c>
      <c r="E15" s="2" t="s">
        <v>358</v>
      </c>
      <c r="F15" s="2" t="s">
        <v>359</v>
      </c>
      <c r="G15" s="2"/>
      <c r="H15" s="3"/>
      <c r="I15" s="3"/>
      <c r="J15" s="3"/>
      <c r="K15" s="3"/>
      <c r="L15" s="3" t="n">
        <v>101.54</v>
      </c>
      <c r="M15" s="3" t="n">
        <v>101.54</v>
      </c>
      <c r="N15" s="2" t="s">
        <v>360</v>
      </c>
      <c r="O15" s="2" t="s">
        <v>348</v>
      </c>
      <c r="P15" s="2" t="s">
        <v>349</v>
      </c>
      <c r="Q15" s="2" t="s">
        <v>361</v>
      </c>
    </row>
    <row r="16" customFormat="false" ht="15" hidden="false" customHeight="false" outlineLevel="0" collapsed="false">
      <c r="A16" s="2" t="s">
        <v>51</v>
      </c>
      <c r="B16" s="2" t="s">
        <v>71</v>
      </c>
      <c r="C16" s="2" t="s">
        <v>357</v>
      </c>
      <c r="D16" s="2" t="s">
        <v>318</v>
      </c>
      <c r="E16" s="2" t="s">
        <v>362</v>
      </c>
      <c r="F16" s="2" t="s">
        <v>363</v>
      </c>
      <c r="G16" s="2"/>
      <c r="H16" s="3"/>
      <c r="I16" s="3"/>
      <c r="J16" s="3"/>
      <c r="K16" s="3"/>
      <c r="L16" s="3" t="n">
        <v>527.65</v>
      </c>
      <c r="M16" s="3" t="n">
        <v>527.65</v>
      </c>
      <c r="N16" s="2" t="s">
        <v>360</v>
      </c>
      <c r="O16" s="2" t="s">
        <v>348</v>
      </c>
      <c r="P16" s="2" t="s">
        <v>337</v>
      </c>
      <c r="Q16" s="2" t="s">
        <v>361</v>
      </c>
    </row>
    <row r="17" customFormat="false" ht="15" hidden="false" customHeight="false" outlineLevel="0" collapsed="false">
      <c r="A17" s="2" t="s">
        <v>87</v>
      </c>
      <c r="B17" s="2" t="s">
        <v>103</v>
      </c>
      <c r="C17" s="2" t="s">
        <v>317</v>
      </c>
      <c r="D17" s="2" t="s">
        <v>318</v>
      </c>
      <c r="E17" s="2" t="s">
        <v>319</v>
      </c>
      <c r="F17" s="2" t="s">
        <v>320</v>
      </c>
      <c r="G17" s="2" t="s">
        <v>321</v>
      </c>
      <c r="H17" s="3" t="n">
        <v>72</v>
      </c>
      <c r="I17" s="3"/>
      <c r="J17" s="3" t="n">
        <v>47.84</v>
      </c>
      <c r="K17" s="3" t="n">
        <v>3444.2</v>
      </c>
      <c r="L17" s="3"/>
      <c r="M17" s="3" t="n">
        <v>3444.2</v>
      </c>
      <c r="N17" s="2" t="s">
        <v>322</v>
      </c>
      <c r="O17" s="2" t="s">
        <v>323</v>
      </c>
      <c r="P17" s="2" t="s">
        <v>324</v>
      </c>
      <c r="Q17" s="2" t="s">
        <v>317</v>
      </c>
    </row>
    <row r="18" customFormat="false" ht="15" hidden="false" customHeight="false" outlineLevel="0" collapsed="false">
      <c r="A18" s="2" t="s">
        <v>87</v>
      </c>
      <c r="B18" s="2" t="s">
        <v>103</v>
      </c>
      <c r="C18" s="2" t="s">
        <v>317</v>
      </c>
      <c r="D18" s="2" t="s">
        <v>318</v>
      </c>
      <c r="E18" s="2" t="s">
        <v>364</v>
      </c>
      <c r="F18" s="2" t="s">
        <v>365</v>
      </c>
      <c r="G18" s="2" t="s">
        <v>321</v>
      </c>
      <c r="H18" s="3" t="n">
        <v>8</v>
      </c>
      <c r="I18" s="3"/>
      <c r="J18" s="3" t="n">
        <v>47.84</v>
      </c>
      <c r="K18" s="3" t="n">
        <v>382.72</v>
      </c>
      <c r="L18" s="3"/>
      <c r="M18" s="3" t="n">
        <v>382.72</v>
      </c>
      <c r="N18" s="2" t="s">
        <v>322</v>
      </c>
      <c r="O18" s="2" t="s">
        <v>323</v>
      </c>
      <c r="P18" s="2" t="s">
        <v>327</v>
      </c>
      <c r="Q18" s="2" t="s">
        <v>317</v>
      </c>
    </row>
    <row r="19" customFormat="false" ht="15" hidden="false" customHeight="false" outlineLevel="0" collapsed="false">
      <c r="A19" s="2" t="s">
        <v>87</v>
      </c>
      <c r="B19" s="2" t="s">
        <v>103</v>
      </c>
      <c r="C19" s="2" t="s">
        <v>317</v>
      </c>
      <c r="D19" s="2" t="s">
        <v>318</v>
      </c>
      <c r="E19" s="2" t="s">
        <v>328</v>
      </c>
      <c r="F19" s="2" t="s">
        <v>329</v>
      </c>
      <c r="G19" s="2"/>
      <c r="H19" s="3"/>
      <c r="I19" s="3"/>
      <c r="J19" s="3"/>
      <c r="K19" s="3" t="n">
        <v>5.24</v>
      </c>
      <c r="L19" s="3"/>
      <c r="M19" s="3" t="n">
        <v>5.24</v>
      </c>
      <c r="N19" s="2" t="s">
        <v>322</v>
      </c>
      <c r="O19" s="2" t="s">
        <v>323</v>
      </c>
      <c r="P19" s="2" t="s">
        <v>324</v>
      </c>
      <c r="Q19" s="2" t="s">
        <v>330</v>
      </c>
    </row>
    <row r="20" customFormat="false" ht="15" hidden="false" customHeight="false" outlineLevel="0" collapsed="false">
      <c r="A20" s="2" t="s">
        <v>87</v>
      </c>
      <c r="B20" s="2" t="s">
        <v>103</v>
      </c>
      <c r="C20" s="2" t="s">
        <v>331</v>
      </c>
      <c r="D20" s="2" t="s">
        <v>318</v>
      </c>
      <c r="E20" s="2" t="s">
        <v>332</v>
      </c>
      <c r="F20" s="2" t="s">
        <v>333</v>
      </c>
      <c r="G20" s="2"/>
      <c r="H20" s="3"/>
      <c r="I20" s="3" t="n">
        <v>3418.89</v>
      </c>
      <c r="J20" s="3"/>
      <c r="K20" s="3" t="n">
        <v>253.46</v>
      </c>
      <c r="L20" s="3"/>
      <c r="M20" s="3" t="n">
        <v>253.46</v>
      </c>
      <c r="N20" s="2" t="s">
        <v>322</v>
      </c>
      <c r="O20" s="2" t="s">
        <v>323</v>
      </c>
      <c r="P20" s="2" t="s">
        <v>324</v>
      </c>
      <c r="Q20" s="2" t="s">
        <v>334</v>
      </c>
    </row>
    <row r="21" customFormat="false" ht="15" hidden="false" customHeight="false" outlineLevel="0" collapsed="false">
      <c r="A21" s="2" t="s">
        <v>87</v>
      </c>
      <c r="B21" s="2" t="s">
        <v>103</v>
      </c>
      <c r="C21" s="2" t="s">
        <v>331</v>
      </c>
      <c r="D21" s="2" t="s">
        <v>318</v>
      </c>
      <c r="E21" s="2" t="s">
        <v>335</v>
      </c>
      <c r="F21" s="2" t="s">
        <v>336</v>
      </c>
      <c r="G21" s="2"/>
      <c r="H21" s="3"/>
      <c r="I21" s="3" t="n">
        <v>3648.51</v>
      </c>
      <c r="J21" s="3"/>
      <c r="K21" s="3" t="n">
        <v>52.9</v>
      </c>
      <c r="L21" s="3"/>
      <c r="M21" s="3" t="n">
        <v>52.9</v>
      </c>
      <c r="N21" s="2" t="s">
        <v>322</v>
      </c>
      <c r="O21" s="2" t="s">
        <v>323</v>
      </c>
      <c r="P21" s="2" t="s">
        <v>337</v>
      </c>
      <c r="Q21" s="2" t="s">
        <v>334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331</v>
      </c>
      <c r="D22" s="2" t="s">
        <v>318</v>
      </c>
      <c r="E22" s="2" t="s">
        <v>338</v>
      </c>
      <c r="F22" s="2" t="s">
        <v>339</v>
      </c>
      <c r="G22" s="2"/>
      <c r="H22" s="3"/>
      <c r="I22" s="3" t="n">
        <v>3648.51</v>
      </c>
      <c r="J22" s="3"/>
      <c r="K22" s="3" t="n">
        <v>226.21</v>
      </c>
      <c r="L22" s="3"/>
      <c r="M22" s="3" t="n">
        <v>226.21</v>
      </c>
      <c r="N22" s="2" t="s">
        <v>322</v>
      </c>
      <c r="O22" s="2" t="s">
        <v>323</v>
      </c>
      <c r="P22" s="2" t="s">
        <v>324</v>
      </c>
      <c r="Q22" s="2" t="s">
        <v>334</v>
      </c>
    </row>
    <row r="23" customFormat="false" ht="15" hidden="false" customHeight="false" outlineLevel="0" collapsed="false">
      <c r="A23" s="2" t="s">
        <v>87</v>
      </c>
      <c r="B23" s="2" t="s">
        <v>103</v>
      </c>
      <c r="C23" s="2" t="s">
        <v>331</v>
      </c>
      <c r="D23" s="2" t="s">
        <v>318</v>
      </c>
      <c r="E23" s="2" t="s">
        <v>340</v>
      </c>
      <c r="F23" s="2" t="s">
        <v>341</v>
      </c>
      <c r="G23" s="2"/>
      <c r="H23" s="3"/>
      <c r="I23" s="3" t="n">
        <v>3832.16</v>
      </c>
      <c r="J23" s="3"/>
      <c r="K23" s="3" t="n">
        <v>22.99</v>
      </c>
      <c r="L23" s="3"/>
      <c r="M23" s="3" t="n">
        <v>22.99</v>
      </c>
      <c r="N23" s="2" t="s">
        <v>322</v>
      </c>
      <c r="O23" s="2" t="s">
        <v>323</v>
      </c>
      <c r="P23" s="2" t="s">
        <v>337</v>
      </c>
      <c r="Q23" s="2" t="s">
        <v>334</v>
      </c>
    </row>
    <row r="24" customFormat="false" ht="15" hidden="false" customHeight="false" outlineLevel="0" collapsed="false">
      <c r="A24" s="2" t="s">
        <v>87</v>
      </c>
      <c r="B24" s="2" t="s">
        <v>103</v>
      </c>
      <c r="C24" s="2" t="s">
        <v>331</v>
      </c>
      <c r="D24" s="2" t="s">
        <v>318</v>
      </c>
      <c r="E24" s="2" t="s">
        <v>342</v>
      </c>
      <c r="F24" s="2" t="s">
        <v>343</v>
      </c>
      <c r="G24" s="2"/>
      <c r="H24" s="3"/>
      <c r="I24" s="3" t="n">
        <v>3418.89</v>
      </c>
      <c r="J24" s="3"/>
      <c r="K24" s="3" t="n">
        <v>226.76</v>
      </c>
      <c r="L24" s="3"/>
      <c r="M24" s="3" t="n">
        <v>226.76</v>
      </c>
      <c r="N24" s="2" t="s">
        <v>322</v>
      </c>
      <c r="O24" s="2" t="s">
        <v>323</v>
      </c>
      <c r="P24" s="2" t="s">
        <v>324</v>
      </c>
      <c r="Q24" s="2" t="s">
        <v>334</v>
      </c>
    </row>
    <row r="25" customFormat="false" ht="15" hidden="false" customHeight="false" outlineLevel="0" collapsed="false">
      <c r="A25" s="2" t="s">
        <v>87</v>
      </c>
      <c r="B25" s="2" t="s">
        <v>103</v>
      </c>
      <c r="C25" s="2" t="s">
        <v>331</v>
      </c>
      <c r="D25" s="2" t="s">
        <v>318</v>
      </c>
      <c r="E25" s="2" t="s">
        <v>344</v>
      </c>
      <c r="F25" s="2" t="s">
        <v>345</v>
      </c>
      <c r="G25" s="2"/>
      <c r="H25" s="3"/>
      <c r="I25" s="3" t="n">
        <v>3832.16</v>
      </c>
      <c r="J25" s="3"/>
      <c r="K25" s="3" t="n">
        <v>3.83</v>
      </c>
      <c r="L25" s="3"/>
      <c r="M25" s="3" t="n">
        <v>3.83</v>
      </c>
      <c r="N25" s="2" t="s">
        <v>322</v>
      </c>
      <c r="O25" s="2" t="s">
        <v>323</v>
      </c>
      <c r="P25" s="2" t="s">
        <v>324</v>
      </c>
      <c r="Q25" s="2" t="s">
        <v>334</v>
      </c>
    </row>
    <row r="26" customFormat="false" ht="15" hidden="false" customHeight="false" outlineLevel="0" collapsed="false">
      <c r="A26" s="2" t="s">
        <v>87</v>
      </c>
      <c r="B26" s="2" t="s">
        <v>103</v>
      </c>
      <c r="C26" s="2" t="s">
        <v>331</v>
      </c>
      <c r="D26" s="2" t="s">
        <v>318</v>
      </c>
      <c r="E26" s="2" t="s">
        <v>346</v>
      </c>
      <c r="F26" s="2" t="s">
        <v>347</v>
      </c>
      <c r="G26" s="2"/>
      <c r="H26" s="3"/>
      <c r="I26" s="3"/>
      <c r="J26" s="3"/>
      <c r="K26" s="3" t="n">
        <v>229.62</v>
      </c>
      <c r="L26" s="3"/>
      <c r="M26" s="3" t="n">
        <v>229.62</v>
      </c>
      <c r="N26" s="2" t="s">
        <v>322</v>
      </c>
      <c r="O26" s="2" t="s">
        <v>348</v>
      </c>
      <c r="P26" s="2" t="s">
        <v>349</v>
      </c>
      <c r="Q26" s="2" t="s">
        <v>350</v>
      </c>
    </row>
    <row r="27" customFormat="false" ht="15" hidden="false" customHeight="false" outlineLevel="0" collapsed="false">
      <c r="A27" s="2" t="s">
        <v>87</v>
      </c>
      <c r="B27" s="2" t="s">
        <v>103</v>
      </c>
      <c r="C27" s="2" t="s">
        <v>331</v>
      </c>
      <c r="D27" s="2" t="s">
        <v>318</v>
      </c>
      <c r="E27" s="2" t="s">
        <v>351</v>
      </c>
      <c r="F27" s="2" t="s">
        <v>352</v>
      </c>
      <c r="G27" s="2"/>
      <c r="H27" s="3"/>
      <c r="I27" s="3"/>
      <c r="J27" s="3"/>
      <c r="K27" s="3" t="n">
        <v>9.35</v>
      </c>
      <c r="L27" s="3"/>
      <c r="M27" s="3" t="n">
        <v>9.35</v>
      </c>
      <c r="N27" s="2" t="s">
        <v>322</v>
      </c>
      <c r="O27" s="2" t="s">
        <v>348</v>
      </c>
      <c r="P27" s="2" t="s">
        <v>337</v>
      </c>
      <c r="Q27" s="2" t="s">
        <v>350</v>
      </c>
    </row>
    <row r="28" customFormat="false" ht="15" hidden="false" customHeight="false" outlineLevel="0" collapsed="false">
      <c r="A28" s="2" t="s">
        <v>87</v>
      </c>
      <c r="B28" s="2" t="s">
        <v>103</v>
      </c>
      <c r="C28" s="2" t="s">
        <v>331</v>
      </c>
      <c r="D28" s="2" t="s">
        <v>318</v>
      </c>
      <c r="E28" s="2" t="s">
        <v>353</v>
      </c>
      <c r="F28" s="2" t="s">
        <v>354</v>
      </c>
      <c r="G28" s="2"/>
      <c r="H28" s="3"/>
      <c r="I28" s="3"/>
      <c r="J28" s="3"/>
      <c r="K28" s="3" t="n">
        <v>23.1</v>
      </c>
      <c r="L28" s="3"/>
      <c r="M28" s="3" t="n">
        <v>23.1</v>
      </c>
      <c r="N28" s="2" t="s">
        <v>322</v>
      </c>
      <c r="O28" s="2" t="s">
        <v>348</v>
      </c>
      <c r="P28" s="2" t="s">
        <v>337</v>
      </c>
      <c r="Q28" s="2" t="s">
        <v>350</v>
      </c>
    </row>
    <row r="29" customFormat="false" ht="15" hidden="false" customHeight="false" outlineLevel="0" collapsed="false">
      <c r="A29" s="2" t="s">
        <v>87</v>
      </c>
      <c r="B29" s="2" t="s">
        <v>103</v>
      </c>
      <c r="C29" s="2" t="s">
        <v>331</v>
      </c>
      <c r="D29" s="2" t="s">
        <v>318</v>
      </c>
      <c r="E29" s="2" t="s">
        <v>355</v>
      </c>
      <c r="F29" s="2" t="s">
        <v>356</v>
      </c>
      <c r="G29" s="2"/>
      <c r="H29" s="3"/>
      <c r="I29" s="3"/>
      <c r="J29" s="3"/>
      <c r="K29" s="3" t="n">
        <v>151.2</v>
      </c>
      <c r="L29" s="3"/>
      <c r="M29" s="3" t="n">
        <v>151.2</v>
      </c>
      <c r="N29" s="2" t="s">
        <v>322</v>
      </c>
      <c r="O29" s="2" t="s">
        <v>348</v>
      </c>
      <c r="P29" s="2" t="s">
        <v>337</v>
      </c>
      <c r="Q29" s="2" t="s">
        <v>350</v>
      </c>
    </row>
    <row r="30" customFormat="false" ht="15" hidden="false" customHeight="false" outlineLevel="0" collapsed="false">
      <c r="A30" s="2" t="s">
        <v>87</v>
      </c>
      <c r="B30" s="2" t="s">
        <v>103</v>
      </c>
      <c r="C30" s="2" t="s">
        <v>357</v>
      </c>
      <c r="D30" s="2" t="s">
        <v>318</v>
      </c>
      <c r="E30" s="2" t="s">
        <v>358</v>
      </c>
      <c r="F30" s="2" t="s">
        <v>359</v>
      </c>
      <c r="G30" s="2"/>
      <c r="H30" s="3"/>
      <c r="I30" s="3"/>
      <c r="J30" s="3"/>
      <c r="K30" s="3"/>
      <c r="L30" s="3" t="n">
        <v>114.81</v>
      </c>
      <c r="M30" s="3" t="n">
        <v>114.81</v>
      </c>
      <c r="N30" s="2" t="s">
        <v>360</v>
      </c>
      <c r="O30" s="2" t="s">
        <v>348</v>
      </c>
      <c r="P30" s="2" t="s">
        <v>349</v>
      </c>
      <c r="Q30" s="2" t="s">
        <v>361</v>
      </c>
    </row>
    <row r="31" customFormat="false" ht="15" hidden="false" customHeight="false" outlineLevel="0" collapsed="false">
      <c r="A31" s="2" t="s">
        <v>87</v>
      </c>
      <c r="B31" s="2" t="s">
        <v>103</v>
      </c>
      <c r="C31" s="2" t="s">
        <v>357</v>
      </c>
      <c r="D31" s="2" t="s">
        <v>318</v>
      </c>
      <c r="E31" s="2" t="s">
        <v>362</v>
      </c>
      <c r="F31" s="2" t="s">
        <v>363</v>
      </c>
      <c r="G31" s="2"/>
      <c r="H31" s="3"/>
      <c r="I31" s="3"/>
      <c r="J31" s="3"/>
      <c r="K31" s="3"/>
      <c r="L31" s="3" t="n">
        <v>798.34</v>
      </c>
      <c r="M31" s="3" t="n">
        <v>798.34</v>
      </c>
      <c r="N31" s="2" t="s">
        <v>360</v>
      </c>
      <c r="O31" s="2" t="s">
        <v>348</v>
      </c>
      <c r="P31" s="2" t="s">
        <v>337</v>
      </c>
      <c r="Q31" s="2" t="s">
        <v>361</v>
      </c>
    </row>
    <row r="32" customFormat="false" ht="15" hidden="false" customHeight="false" outlineLevel="0" collapsed="false">
      <c r="A32" s="2" t="s">
        <v>114</v>
      </c>
      <c r="B32" s="2" t="s">
        <v>130</v>
      </c>
      <c r="C32" s="2" t="s">
        <v>317</v>
      </c>
      <c r="D32" s="2" t="s">
        <v>318</v>
      </c>
      <c r="E32" s="2" t="s">
        <v>319</v>
      </c>
      <c r="F32" s="2" t="s">
        <v>320</v>
      </c>
      <c r="G32" s="2" t="s">
        <v>321</v>
      </c>
      <c r="H32" s="3" t="n">
        <v>48</v>
      </c>
      <c r="I32" s="3"/>
      <c r="J32" s="3" t="n">
        <v>70.19</v>
      </c>
      <c r="K32" s="3" t="n">
        <v>3369.3</v>
      </c>
      <c r="L32" s="3"/>
      <c r="M32" s="3" t="n">
        <v>3369.3</v>
      </c>
      <c r="N32" s="2" t="s">
        <v>322</v>
      </c>
      <c r="O32" s="2" t="s">
        <v>323</v>
      </c>
      <c r="P32" s="2" t="s">
        <v>324</v>
      </c>
      <c r="Q32" s="2" t="s">
        <v>317</v>
      </c>
    </row>
    <row r="33" customFormat="false" ht="15" hidden="false" customHeight="false" outlineLevel="0" collapsed="false">
      <c r="A33" s="2" t="s">
        <v>114</v>
      </c>
      <c r="B33" s="2" t="s">
        <v>130</v>
      </c>
      <c r="C33" s="2" t="s">
        <v>317</v>
      </c>
      <c r="D33" s="2" t="s">
        <v>318</v>
      </c>
      <c r="E33" s="2" t="s">
        <v>364</v>
      </c>
      <c r="F33" s="2" t="s">
        <v>365</v>
      </c>
      <c r="G33" s="2" t="s">
        <v>321</v>
      </c>
      <c r="H33" s="3" t="n">
        <v>8</v>
      </c>
      <c r="I33" s="3"/>
      <c r="J33" s="3" t="n">
        <v>70.19</v>
      </c>
      <c r="K33" s="3" t="n">
        <v>561.52</v>
      </c>
      <c r="L33" s="3"/>
      <c r="M33" s="3" t="n">
        <v>561.52</v>
      </c>
      <c r="N33" s="2" t="s">
        <v>322</v>
      </c>
      <c r="O33" s="2" t="s">
        <v>323</v>
      </c>
      <c r="P33" s="2" t="s">
        <v>327</v>
      </c>
      <c r="Q33" s="2" t="s">
        <v>317</v>
      </c>
    </row>
    <row r="34" customFormat="false" ht="15" hidden="false" customHeight="false" outlineLevel="0" collapsed="false">
      <c r="A34" s="2" t="s">
        <v>114</v>
      </c>
      <c r="B34" s="2" t="s">
        <v>130</v>
      </c>
      <c r="C34" s="2" t="s">
        <v>317</v>
      </c>
      <c r="D34" s="2" t="s">
        <v>318</v>
      </c>
      <c r="E34" s="2" t="s">
        <v>325</v>
      </c>
      <c r="F34" s="2" t="s">
        <v>326</v>
      </c>
      <c r="G34" s="2" t="s">
        <v>321</v>
      </c>
      <c r="H34" s="3" t="n">
        <v>24</v>
      </c>
      <c r="I34" s="3"/>
      <c r="J34" s="3" t="n">
        <v>70.19</v>
      </c>
      <c r="K34" s="3" t="n">
        <v>1684.56</v>
      </c>
      <c r="L34" s="3"/>
      <c r="M34" s="3" t="n">
        <v>1684.56</v>
      </c>
      <c r="N34" s="2" t="s">
        <v>322</v>
      </c>
      <c r="O34" s="2" t="s">
        <v>323</v>
      </c>
      <c r="P34" s="2" t="s">
        <v>327</v>
      </c>
      <c r="Q34" s="2" t="s">
        <v>317</v>
      </c>
    </row>
    <row r="35" customFormat="false" ht="15" hidden="false" customHeight="false" outlineLevel="0" collapsed="false">
      <c r="A35" s="2" t="s">
        <v>114</v>
      </c>
      <c r="B35" s="2" t="s">
        <v>130</v>
      </c>
      <c r="C35" s="2" t="s">
        <v>317</v>
      </c>
      <c r="D35" s="2" t="s">
        <v>318</v>
      </c>
      <c r="E35" s="2" t="s">
        <v>366</v>
      </c>
      <c r="F35" s="2" t="s">
        <v>367</v>
      </c>
      <c r="G35" s="2"/>
      <c r="H35" s="3"/>
      <c r="I35" s="3"/>
      <c r="J35" s="3"/>
      <c r="K35" s="3" t="n">
        <v>309.06</v>
      </c>
      <c r="L35" s="3"/>
      <c r="M35" s="3" t="n">
        <v>309.06</v>
      </c>
      <c r="N35" s="2" t="s">
        <v>322</v>
      </c>
      <c r="O35" s="2" t="s">
        <v>323</v>
      </c>
      <c r="P35" s="2" t="s">
        <v>324</v>
      </c>
      <c r="Q35" s="2" t="s">
        <v>330</v>
      </c>
    </row>
    <row r="36" customFormat="false" ht="15" hidden="false" customHeight="false" outlineLevel="0" collapsed="false">
      <c r="A36" s="2" t="s">
        <v>114</v>
      </c>
      <c r="B36" s="2" t="s">
        <v>130</v>
      </c>
      <c r="C36" s="2" t="s">
        <v>317</v>
      </c>
      <c r="D36" s="2" t="s">
        <v>318</v>
      </c>
      <c r="E36" s="2" t="s">
        <v>328</v>
      </c>
      <c r="F36" s="2" t="s">
        <v>329</v>
      </c>
      <c r="G36" s="2"/>
      <c r="H36" s="3"/>
      <c r="I36" s="3"/>
      <c r="J36" s="3"/>
      <c r="K36" s="3" t="n">
        <v>5.87</v>
      </c>
      <c r="L36" s="3"/>
      <c r="M36" s="3" t="n">
        <v>5.87</v>
      </c>
      <c r="N36" s="2" t="s">
        <v>322</v>
      </c>
      <c r="O36" s="2" t="s">
        <v>323</v>
      </c>
      <c r="P36" s="2" t="s">
        <v>324</v>
      </c>
      <c r="Q36" s="2" t="s">
        <v>330</v>
      </c>
    </row>
    <row r="37" customFormat="false" ht="15" hidden="false" customHeight="false" outlineLevel="0" collapsed="false">
      <c r="A37" s="2" t="s">
        <v>114</v>
      </c>
      <c r="B37" s="2" t="s">
        <v>130</v>
      </c>
      <c r="C37" s="2" t="s">
        <v>331</v>
      </c>
      <c r="D37" s="2" t="s">
        <v>318</v>
      </c>
      <c r="E37" s="2" t="s">
        <v>332</v>
      </c>
      <c r="F37" s="2" t="s">
        <v>333</v>
      </c>
      <c r="G37" s="2"/>
      <c r="H37" s="3"/>
      <c r="I37" s="3" t="n">
        <v>5010.65</v>
      </c>
      <c r="J37" s="3"/>
      <c r="K37" s="3" t="n">
        <v>788.98</v>
      </c>
      <c r="L37" s="3"/>
      <c r="M37" s="3" t="n">
        <v>788.98</v>
      </c>
      <c r="N37" s="2" t="s">
        <v>322</v>
      </c>
      <c r="O37" s="2" t="s">
        <v>323</v>
      </c>
      <c r="P37" s="2" t="s">
        <v>324</v>
      </c>
      <c r="Q37" s="2" t="s">
        <v>334</v>
      </c>
    </row>
    <row r="38" customFormat="false" ht="15" hidden="false" customHeight="false" outlineLevel="0" collapsed="false">
      <c r="A38" s="2" t="s">
        <v>114</v>
      </c>
      <c r="B38" s="2" t="s">
        <v>130</v>
      </c>
      <c r="C38" s="2" t="s">
        <v>331</v>
      </c>
      <c r="D38" s="2" t="s">
        <v>318</v>
      </c>
      <c r="E38" s="2" t="s">
        <v>335</v>
      </c>
      <c r="F38" s="2" t="s">
        <v>336</v>
      </c>
      <c r="G38" s="2"/>
      <c r="H38" s="3"/>
      <c r="I38" s="3" t="n">
        <v>5852.96</v>
      </c>
      <c r="J38" s="3"/>
      <c r="K38" s="3" t="n">
        <v>84.87</v>
      </c>
      <c r="L38" s="3"/>
      <c r="M38" s="3" t="n">
        <v>84.87</v>
      </c>
      <c r="N38" s="2" t="s">
        <v>322</v>
      </c>
      <c r="O38" s="2" t="s">
        <v>323</v>
      </c>
      <c r="P38" s="2" t="s">
        <v>337</v>
      </c>
      <c r="Q38" s="2" t="s">
        <v>334</v>
      </c>
    </row>
    <row r="39" customFormat="false" ht="15" hidden="false" customHeight="false" outlineLevel="0" collapsed="false">
      <c r="A39" s="2" t="s">
        <v>114</v>
      </c>
      <c r="B39" s="2" t="s">
        <v>130</v>
      </c>
      <c r="C39" s="2" t="s">
        <v>331</v>
      </c>
      <c r="D39" s="2" t="s">
        <v>318</v>
      </c>
      <c r="E39" s="2" t="s">
        <v>338</v>
      </c>
      <c r="F39" s="2" t="s">
        <v>339</v>
      </c>
      <c r="G39" s="2"/>
      <c r="H39" s="3"/>
      <c r="I39" s="3" t="n">
        <v>5852.96</v>
      </c>
      <c r="J39" s="3"/>
      <c r="K39" s="3" t="n">
        <v>362.88</v>
      </c>
      <c r="L39" s="3"/>
      <c r="M39" s="3" t="n">
        <v>362.88</v>
      </c>
      <c r="N39" s="2" t="s">
        <v>322</v>
      </c>
      <c r="O39" s="2" t="s">
        <v>323</v>
      </c>
      <c r="P39" s="2" t="s">
        <v>324</v>
      </c>
      <c r="Q39" s="2" t="s">
        <v>334</v>
      </c>
    </row>
    <row r="40" customFormat="false" ht="15" hidden="false" customHeight="false" outlineLevel="0" collapsed="false">
      <c r="A40" s="2" t="s">
        <v>114</v>
      </c>
      <c r="B40" s="2" t="s">
        <v>130</v>
      </c>
      <c r="C40" s="2" t="s">
        <v>331</v>
      </c>
      <c r="D40" s="2" t="s">
        <v>318</v>
      </c>
      <c r="E40" s="2" t="s">
        <v>340</v>
      </c>
      <c r="F40" s="2" t="s">
        <v>341</v>
      </c>
      <c r="G40" s="2"/>
      <c r="H40" s="3"/>
      <c r="I40" s="3" t="n">
        <v>5930.31</v>
      </c>
      <c r="J40" s="3"/>
      <c r="K40" s="3" t="n">
        <v>35.58</v>
      </c>
      <c r="L40" s="3"/>
      <c r="M40" s="3" t="n">
        <v>35.58</v>
      </c>
      <c r="N40" s="2" t="s">
        <v>322</v>
      </c>
      <c r="O40" s="2" t="s">
        <v>323</v>
      </c>
      <c r="P40" s="2" t="s">
        <v>337</v>
      </c>
      <c r="Q40" s="2" t="s">
        <v>334</v>
      </c>
    </row>
    <row r="41" customFormat="false" ht="15" hidden="false" customHeight="false" outlineLevel="0" collapsed="false">
      <c r="A41" s="2" t="s">
        <v>114</v>
      </c>
      <c r="B41" s="2" t="s">
        <v>130</v>
      </c>
      <c r="C41" s="2" t="s">
        <v>331</v>
      </c>
      <c r="D41" s="2" t="s">
        <v>318</v>
      </c>
      <c r="E41" s="2" t="s">
        <v>342</v>
      </c>
      <c r="F41" s="2" t="s">
        <v>343</v>
      </c>
      <c r="G41" s="2"/>
      <c r="H41" s="3"/>
      <c r="I41" s="3" t="n">
        <v>5010.65</v>
      </c>
      <c r="J41" s="3"/>
      <c r="K41" s="3" t="n">
        <v>408.24</v>
      </c>
      <c r="L41" s="3"/>
      <c r="M41" s="3" t="n">
        <v>408.24</v>
      </c>
      <c r="N41" s="2" t="s">
        <v>322</v>
      </c>
      <c r="O41" s="2" t="s">
        <v>323</v>
      </c>
      <c r="P41" s="2" t="s">
        <v>324</v>
      </c>
      <c r="Q41" s="2" t="s">
        <v>334</v>
      </c>
    </row>
    <row r="42" customFormat="false" ht="15" hidden="false" customHeight="false" outlineLevel="0" collapsed="false">
      <c r="A42" s="2" t="s">
        <v>114</v>
      </c>
      <c r="B42" s="2" t="s">
        <v>130</v>
      </c>
      <c r="C42" s="2" t="s">
        <v>331</v>
      </c>
      <c r="D42" s="2" t="s">
        <v>318</v>
      </c>
      <c r="E42" s="2" t="s">
        <v>344</v>
      </c>
      <c r="F42" s="2" t="s">
        <v>345</v>
      </c>
      <c r="G42" s="2"/>
      <c r="H42" s="3"/>
      <c r="I42" s="3" t="n">
        <v>5930.31</v>
      </c>
      <c r="J42" s="3"/>
      <c r="K42" s="3" t="n">
        <v>5.93</v>
      </c>
      <c r="L42" s="3"/>
      <c r="M42" s="3" t="n">
        <v>5.93</v>
      </c>
      <c r="N42" s="2" t="s">
        <v>322</v>
      </c>
      <c r="O42" s="2" t="s">
        <v>323</v>
      </c>
      <c r="P42" s="2" t="s">
        <v>324</v>
      </c>
      <c r="Q42" s="2" t="s">
        <v>334</v>
      </c>
    </row>
    <row r="43" customFormat="false" ht="15" hidden="false" customHeight="false" outlineLevel="0" collapsed="false">
      <c r="A43" s="2" t="s">
        <v>114</v>
      </c>
      <c r="B43" s="2" t="s">
        <v>130</v>
      </c>
      <c r="C43" s="2" t="s">
        <v>331</v>
      </c>
      <c r="D43" s="2" t="s">
        <v>318</v>
      </c>
      <c r="E43" s="2" t="s">
        <v>346</v>
      </c>
      <c r="F43" s="2" t="s">
        <v>347</v>
      </c>
      <c r="G43" s="2"/>
      <c r="H43" s="3"/>
      <c r="I43" s="3"/>
      <c r="J43" s="3"/>
      <c r="K43" s="3" t="n">
        <v>842.31</v>
      </c>
      <c r="L43" s="3"/>
      <c r="M43" s="3" t="n">
        <v>842.31</v>
      </c>
      <c r="N43" s="2" t="s">
        <v>322</v>
      </c>
      <c r="O43" s="2" t="s">
        <v>348</v>
      </c>
      <c r="P43" s="2" t="s">
        <v>349</v>
      </c>
      <c r="Q43" s="2" t="s">
        <v>350</v>
      </c>
    </row>
    <row r="44" customFormat="false" ht="15" hidden="false" customHeight="false" outlineLevel="0" collapsed="false">
      <c r="A44" s="2" t="s">
        <v>114</v>
      </c>
      <c r="B44" s="2" t="s">
        <v>130</v>
      </c>
      <c r="C44" s="2" t="s">
        <v>331</v>
      </c>
      <c r="D44" s="2" t="s">
        <v>318</v>
      </c>
      <c r="E44" s="2" t="s">
        <v>351</v>
      </c>
      <c r="F44" s="2" t="s">
        <v>352</v>
      </c>
      <c r="G44" s="2"/>
      <c r="H44" s="3"/>
      <c r="I44" s="3"/>
      <c r="J44" s="3"/>
      <c r="K44" s="3" t="n">
        <v>3.7</v>
      </c>
      <c r="L44" s="3"/>
      <c r="M44" s="3" t="n">
        <v>3.7</v>
      </c>
      <c r="N44" s="2" t="s">
        <v>322</v>
      </c>
      <c r="O44" s="2" t="s">
        <v>348</v>
      </c>
      <c r="P44" s="2" t="s">
        <v>337</v>
      </c>
      <c r="Q44" s="2" t="s">
        <v>350</v>
      </c>
    </row>
    <row r="45" customFormat="false" ht="15" hidden="false" customHeight="false" outlineLevel="0" collapsed="false">
      <c r="A45" s="2" t="s">
        <v>114</v>
      </c>
      <c r="B45" s="2" t="s">
        <v>130</v>
      </c>
      <c r="C45" s="2" t="s">
        <v>331</v>
      </c>
      <c r="D45" s="2" t="s">
        <v>318</v>
      </c>
      <c r="E45" s="2" t="s">
        <v>353</v>
      </c>
      <c r="F45" s="2" t="s">
        <v>354</v>
      </c>
      <c r="G45" s="2"/>
      <c r="H45" s="3"/>
      <c r="I45" s="3"/>
      <c r="J45" s="3"/>
      <c r="K45" s="3" t="n">
        <v>9.9</v>
      </c>
      <c r="L45" s="3"/>
      <c r="M45" s="3" t="n">
        <v>9.9</v>
      </c>
      <c r="N45" s="2" t="s">
        <v>322</v>
      </c>
      <c r="O45" s="2" t="s">
        <v>348</v>
      </c>
      <c r="P45" s="2" t="s">
        <v>337</v>
      </c>
      <c r="Q45" s="2" t="s">
        <v>350</v>
      </c>
    </row>
    <row r="46" customFormat="false" ht="15" hidden="false" customHeight="false" outlineLevel="0" collapsed="false">
      <c r="A46" s="2" t="s">
        <v>114</v>
      </c>
      <c r="B46" s="2" t="s">
        <v>130</v>
      </c>
      <c r="C46" s="2" t="s">
        <v>331</v>
      </c>
      <c r="D46" s="2" t="s">
        <v>318</v>
      </c>
      <c r="E46" s="2" t="s">
        <v>355</v>
      </c>
      <c r="F46" s="2" t="s">
        <v>356</v>
      </c>
      <c r="G46" s="2"/>
      <c r="H46" s="3"/>
      <c r="I46" s="3"/>
      <c r="J46" s="3"/>
      <c r="K46" s="3" t="n">
        <v>63.75</v>
      </c>
      <c r="L46" s="3"/>
      <c r="M46" s="3" t="n">
        <v>63.75</v>
      </c>
      <c r="N46" s="2" t="s">
        <v>322</v>
      </c>
      <c r="O46" s="2" t="s">
        <v>348</v>
      </c>
      <c r="P46" s="2" t="s">
        <v>337</v>
      </c>
      <c r="Q46" s="2" t="s">
        <v>350</v>
      </c>
    </row>
    <row r="47" customFormat="false" ht="15" hidden="false" customHeight="false" outlineLevel="0" collapsed="false">
      <c r="A47" s="2" t="s">
        <v>114</v>
      </c>
      <c r="B47" s="2" t="s">
        <v>130</v>
      </c>
      <c r="C47" s="2" t="s">
        <v>331</v>
      </c>
      <c r="D47" s="2" t="s">
        <v>318</v>
      </c>
      <c r="E47" s="2" t="s">
        <v>368</v>
      </c>
      <c r="F47" s="2" t="s">
        <v>369</v>
      </c>
      <c r="G47" s="2"/>
      <c r="H47" s="3"/>
      <c r="I47" s="3"/>
      <c r="J47" s="3"/>
      <c r="K47" s="3" t="n">
        <v>2.96</v>
      </c>
      <c r="L47" s="3"/>
      <c r="M47" s="3" t="n">
        <v>2.96</v>
      </c>
      <c r="N47" s="2" t="s">
        <v>322</v>
      </c>
      <c r="O47" s="2" t="s">
        <v>323</v>
      </c>
      <c r="P47" s="2" t="s">
        <v>337</v>
      </c>
      <c r="Q47" s="2" t="s">
        <v>370</v>
      </c>
    </row>
    <row r="48" customFormat="false" ht="15" hidden="false" customHeight="false" outlineLevel="0" collapsed="false">
      <c r="A48" s="2" t="s">
        <v>114</v>
      </c>
      <c r="B48" s="2" t="s">
        <v>130</v>
      </c>
      <c r="C48" s="2" t="s">
        <v>331</v>
      </c>
      <c r="D48" s="2" t="s">
        <v>318</v>
      </c>
      <c r="E48" s="2" t="s">
        <v>371</v>
      </c>
      <c r="F48" s="2" t="s">
        <v>372</v>
      </c>
      <c r="G48" s="2"/>
      <c r="H48" s="3"/>
      <c r="I48" s="3"/>
      <c r="J48" s="3"/>
      <c r="K48" s="3" t="n">
        <v>9.9</v>
      </c>
      <c r="L48" s="3"/>
      <c r="M48" s="3" t="n">
        <v>9.9</v>
      </c>
      <c r="N48" s="2" t="s">
        <v>322</v>
      </c>
      <c r="O48" s="2" t="s">
        <v>323</v>
      </c>
      <c r="P48" s="2" t="s">
        <v>337</v>
      </c>
      <c r="Q48" s="2" t="s">
        <v>370</v>
      </c>
    </row>
    <row r="49" customFormat="false" ht="15" hidden="false" customHeight="false" outlineLevel="0" collapsed="false">
      <c r="A49" s="2" t="s">
        <v>114</v>
      </c>
      <c r="B49" s="2" t="s">
        <v>130</v>
      </c>
      <c r="C49" s="2" t="s">
        <v>331</v>
      </c>
      <c r="D49" s="2" t="s">
        <v>318</v>
      </c>
      <c r="E49" s="2" t="s">
        <v>373</v>
      </c>
      <c r="F49" s="2" t="s">
        <v>374</v>
      </c>
      <c r="G49" s="2"/>
      <c r="H49" s="3"/>
      <c r="I49" s="3"/>
      <c r="J49" s="3"/>
      <c r="K49" s="3" t="n">
        <v>86.06</v>
      </c>
      <c r="L49" s="3"/>
      <c r="M49" s="3" t="n">
        <v>86.06</v>
      </c>
      <c r="N49" s="2" t="s">
        <v>322</v>
      </c>
      <c r="O49" s="2" t="s">
        <v>323</v>
      </c>
      <c r="P49" s="2" t="s">
        <v>337</v>
      </c>
      <c r="Q49" s="2" t="s">
        <v>370</v>
      </c>
    </row>
    <row r="50" customFormat="false" ht="15" hidden="false" customHeight="false" outlineLevel="0" collapsed="false">
      <c r="A50" s="2" t="s">
        <v>114</v>
      </c>
      <c r="B50" s="2" t="s">
        <v>130</v>
      </c>
      <c r="C50" s="2" t="s">
        <v>357</v>
      </c>
      <c r="D50" s="2" t="s">
        <v>318</v>
      </c>
      <c r="E50" s="2" t="s">
        <v>358</v>
      </c>
      <c r="F50" s="2" t="s">
        <v>359</v>
      </c>
      <c r="G50" s="2"/>
      <c r="H50" s="3"/>
      <c r="I50" s="3"/>
      <c r="J50" s="3"/>
      <c r="K50" s="3"/>
      <c r="L50" s="3" t="n">
        <v>168.46</v>
      </c>
      <c r="M50" s="3" t="n">
        <v>168.46</v>
      </c>
      <c r="N50" s="2" t="s">
        <v>360</v>
      </c>
      <c r="O50" s="2" t="s">
        <v>348</v>
      </c>
      <c r="P50" s="2" t="s">
        <v>349</v>
      </c>
      <c r="Q50" s="2" t="s">
        <v>361</v>
      </c>
    </row>
    <row r="51" customFormat="false" ht="15" hidden="false" customHeight="false" outlineLevel="0" collapsed="false">
      <c r="A51" s="2" t="s">
        <v>114</v>
      </c>
      <c r="B51" s="2" t="s">
        <v>130</v>
      </c>
      <c r="C51" s="2" t="s">
        <v>357</v>
      </c>
      <c r="D51" s="2" t="s">
        <v>318</v>
      </c>
      <c r="E51" s="2" t="s">
        <v>362</v>
      </c>
      <c r="F51" s="2" t="s">
        <v>363</v>
      </c>
      <c r="G51" s="2"/>
      <c r="H51" s="3"/>
      <c r="I51" s="3"/>
      <c r="J51" s="3"/>
      <c r="K51" s="3"/>
      <c r="L51" s="3" t="n">
        <v>332.3</v>
      </c>
      <c r="M51" s="3" t="n">
        <v>332.3</v>
      </c>
      <c r="N51" s="2" t="s">
        <v>360</v>
      </c>
      <c r="O51" s="2" t="s">
        <v>348</v>
      </c>
      <c r="P51" s="2" t="s">
        <v>337</v>
      </c>
      <c r="Q51" s="2" t="s">
        <v>361</v>
      </c>
    </row>
    <row r="52" customFormat="false" ht="15" hidden="false" customHeight="false" outlineLevel="0" collapsed="false">
      <c r="A52" s="2" t="s">
        <v>140</v>
      </c>
      <c r="B52" s="2" t="s">
        <v>155</v>
      </c>
      <c r="C52" s="2" t="s">
        <v>317</v>
      </c>
      <c r="D52" s="2" t="s">
        <v>318</v>
      </c>
      <c r="E52" s="2" t="s">
        <v>319</v>
      </c>
      <c r="F52" s="2" t="s">
        <v>320</v>
      </c>
      <c r="G52" s="2" t="s">
        <v>321</v>
      </c>
      <c r="H52" s="3" t="n">
        <v>72</v>
      </c>
      <c r="I52" s="3"/>
      <c r="J52" s="3" t="n">
        <v>34.86</v>
      </c>
      <c r="K52" s="3" t="n">
        <v>2509.58</v>
      </c>
      <c r="L52" s="3"/>
      <c r="M52" s="3" t="n">
        <v>2509.58</v>
      </c>
      <c r="N52" s="2" t="s">
        <v>322</v>
      </c>
      <c r="O52" s="2" t="s">
        <v>323</v>
      </c>
      <c r="P52" s="2" t="s">
        <v>324</v>
      </c>
      <c r="Q52" s="2" t="s">
        <v>317</v>
      </c>
    </row>
    <row r="53" customFormat="false" ht="15" hidden="false" customHeight="false" outlineLevel="0" collapsed="false">
      <c r="A53" s="2" t="s">
        <v>140</v>
      </c>
      <c r="B53" s="2" t="s">
        <v>155</v>
      </c>
      <c r="C53" s="2" t="s">
        <v>317</v>
      </c>
      <c r="D53" s="2" t="s">
        <v>318</v>
      </c>
      <c r="E53" s="2" t="s">
        <v>325</v>
      </c>
      <c r="F53" s="2" t="s">
        <v>326</v>
      </c>
      <c r="G53" s="2" t="s">
        <v>321</v>
      </c>
      <c r="H53" s="3" t="n">
        <v>8</v>
      </c>
      <c r="I53" s="3"/>
      <c r="J53" s="3" t="n">
        <v>34.86</v>
      </c>
      <c r="K53" s="3" t="n">
        <v>278.88</v>
      </c>
      <c r="L53" s="3"/>
      <c r="M53" s="3" t="n">
        <v>278.88</v>
      </c>
      <c r="N53" s="2" t="s">
        <v>322</v>
      </c>
      <c r="O53" s="2" t="s">
        <v>323</v>
      </c>
      <c r="P53" s="2" t="s">
        <v>327</v>
      </c>
      <c r="Q53" s="2" t="s">
        <v>317</v>
      </c>
    </row>
    <row r="54" customFormat="false" ht="15" hidden="false" customHeight="false" outlineLevel="0" collapsed="false">
      <c r="A54" s="2" t="s">
        <v>140</v>
      </c>
      <c r="B54" s="2" t="s">
        <v>155</v>
      </c>
      <c r="C54" s="2" t="s">
        <v>317</v>
      </c>
      <c r="D54" s="2" t="s">
        <v>318</v>
      </c>
      <c r="E54" s="2" t="s">
        <v>328</v>
      </c>
      <c r="F54" s="2" t="s">
        <v>329</v>
      </c>
      <c r="G54" s="2"/>
      <c r="H54" s="3"/>
      <c r="I54" s="3"/>
      <c r="J54" s="3"/>
      <c r="K54" s="3" t="n">
        <v>7.99</v>
      </c>
      <c r="L54" s="3"/>
      <c r="M54" s="3" t="n">
        <v>7.99</v>
      </c>
      <c r="N54" s="2" t="s">
        <v>322</v>
      </c>
      <c r="O54" s="2" t="s">
        <v>323</v>
      </c>
      <c r="P54" s="2" t="s">
        <v>324</v>
      </c>
      <c r="Q54" s="2" t="s">
        <v>330</v>
      </c>
    </row>
    <row r="55" customFormat="false" ht="15" hidden="false" customHeight="false" outlineLevel="0" collapsed="false">
      <c r="A55" s="2" t="s">
        <v>140</v>
      </c>
      <c r="B55" s="2" t="s">
        <v>155</v>
      </c>
      <c r="C55" s="2" t="s">
        <v>331</v>
      </c>
      <c r="D55" s="2" t="s">
        <v>318</v>
      </c>
      <c r="E55" s="2" t="s">
        <v>332</v>
      </c>
      <c r="F55" s="2" t="s">
        <v>333</v>
      </c>
      <c r="G55" s="2"/>
      <c r="H55" s="3"/>
      <c r="I55" s="3" t="n">
        <v>2425.98</v>
      </c>
      <c r="J55" s="3"/>
      <c r="K55" s="3" t="n">
        <v>134.31</v>
      </c>
      <c r="L55" s="3"/>
      <c r="M55" s="3" t="n">
        <v>134.31</v>
      </c>
      <c r="N55" s="2" t="s">
        <v>322</v>
      </c>
      <c r="O55" s="2" t="s">
        <v>323</v>
      </c>
      <c r="P55" s="2" t="s">
        <v>324</v>
      </c>
      <c r="Q55" s="2" t="s">
        <v>334</v>
      </c>
    </row>
    <row r="56" customFormat="false" ht="15" hidden="false" customHeight="false" outlineLevel="0" collapsed="false">
      <c r="A56" s="2" t="s">
        <v>140</v>
      </c>
      <c r="B56" s="2" t="s">
        <v>155</v>
      </c>
      <c r="C56" s="2" t="s">
        <v>331</v>
      </c>
      <c r="D56" s="2" t="s">
        <v>318</v>
      </c>
      <c r="E56" s="2" t="s">
        <v>335</v>
      </c>
      <c r="F56" s="2" t="s">
        <v>336</v>
      </c>
      <c r="G56" s="2"/>
      <c r="H56" s="3"/>
      <c r="I56" s="3" t="n">
        <v>2565.4</v>
      </c>
      <c r="J56" s="3"/>
      <c r="K56" s="3" t="n">
        <v>37.2</v>
      </c>
      <c r="L56" s="3"/>
      <c r="M56" s="3" t="n">
        <v>37.2</v>
      </c>
      <c r="N56" s="2" t="s">
        <v>322</v>
      </c>
      <c r="O56" s="2" t="s">
        <v>323</v>
      </c>
      <c r="P56" s="2" t="s">
        <v>337</v>
      </c>
      <c r="Q56" s="2" t="s">
        <v>334</v>
      </c>
    </row>
    <row r="57" customFormat="false" ht="15" hidden="false" customHeight="false" outlineLevel="0" collapsed="false">
      <c r="A57" s="2" t="s">
        <v>140</v>
      </c>
      <c r="B57" s="2" t="s">
        <v>155</v>
      </c>
      <c r="C57" s="2" t="s">
        <v>331</v>
      </c>
      <c r="D57" s="2" t="s">
        <v>318</v>
      </c>
      <c r="E57" s="2" t="s">
        <v>338</v>
      </c>
      <c r="F57" s="2" t="s">
        <v>339</v>
      </c>
      <c r="G57" s="2"/>
      <c r="H57" s="3"/>
      <c r="I57" s="3" t="n">
        <v>2565.4</v>
      </c>
      <c r="J57" s="3"/>
      <c r="K57" s="3" t="n">
        <v>159.05</v>
      </c>
      <c r="L57" s="3"/>
      <c r="M57" s="3" t="n">
        <v>159.05</v>
      </c>
      <c r="N57" s="2" t="s">
        <v>322</v>
      </c>
      <c r="O57" s="2" t="s">
        <v>323</v>
      </c>
      <c r="P57" s="2" t="s">
        <v>324</v>
      </c>
      <c r="Q57" s="2" t="s">
        <v>334</v>
      </c>
    </row>
    <row r="58" customFormat="false" ht="15" hidden="false" customHeight="false" outlineLevel="0" collapsed="false">
      <c r="A58" s="2" t="s">
        <v>140</v>
      </c>
      <c r="B58" s="2" t="s">
        <v>155</v>
      </c>
      <c r="C58" s="2" t="s">
        <v>331</v>
      </c>
      <c r="D58" s="2" t="s">
        <v>318</v>
      </c>
      <c r="E58" s="2" t="s">
        <v>340</v>
      </c>
      <c r="F58" s="2" t="s">
        <v>341</v>
      </c>
      <c r="G58" s="2"/>
      <c r="H58" s="3"/>
      <c r="I58" s="3" t="n">
        <v>2796.45</v>
      </c>
      <c r="J58" s="3"/>
      <c r="K58" s="3" t="n">
        <v>16.78</v>
      </c>
      <c r="L58" s="3"/>
      <c r="M58" s="3" t="n">
        <v>16.78</v>
      </c>
      <c r="N58" s="2" t="s">
        <v>322</v>
      </c>
      <c r="O58" s="2" t="s">
        <v>323</v>
      </c>
      <c r="P58" s="2" t="s">
        <v>337</v>
      </c>
      <c r="Q58" s="2" t="s">
        <v>334</v>
      </c>
    </row>
    <row r="59" customFormat="false" ht="15" hidden="false" customHeight="false" outlineLevel="0" collapsed="false">
      <c r="A59" s="2" t="s">
        <v>140</v>
      </c>
      <c r="B59" s="2" t="s">
        <v>155</v>
      </c>
      <c r="C59" s="2" t="s">
        <v>331</v>
      </c>
      <c r="D59" s="2" t="s">
        <v>318</v>
      </c>
      <c r="E59" s="2" t="s">
        <v>342</v>
      </c>
      <c r="F59" s="2" t="s">
        <v>343</v>
      </c>
      <c r="G59" s="2"/>
      <c r="H59" s="3"/>
      <c r="I59" s="3" t="n">
        <v>2425.98</v>
      </c>
      <c r="J59" s="3"/>
      <c r="K59" s="3" t="n">
        <v>130.04</v>
      </c>
      <c r="L59" s="3"/>
      <c r="M59" s="3" t="n">
        <v>130.04</v>
      </c>
      <c r="N59" s="2" t="s">
        <v>322</v>
      </c>
      <c r="O59" s="2" t="s">
        <v>323</v>
      </c>
      <c r="P59" s="2" t="s">
        <v>324</v>
      </c>
      <c r="Q59" s="2" t="s">
        <v>334</v>
      </c>
    </row>
    <row r="60" customFormat="false" ht="15" hidden="false" customHeight="false" outlineLevel="0" collapsed="false">
      <c r="A60" s="2" t="s">
        <v>140</v>
      </c>
      <c r="B60" s="2" t="s">
        <v>155</v>
      </c>
      <c r="C60" s="2" t="s">
        <v>331</v>
      </c>
      <c r="D60" s="2" t="s">
        <v>318</v>
      </c>
      <c r="E60" s="2" t="s">
        <v>344</v>
      </c>
      <c r="F60" s="2" t="s">
        <v>345</v>
      </c>
      <c r="G60" s="2"/>
      <c r="H60" s="3"/>
      <c r="I60" s="3" t="n">
        <v>2796.45</v>
      </c>
      <c r="J60" s="3"/>
      <c r="K60" s="3" t="n">
        <v>2.8</v>
      </c>
      <c r="L60" s="3"/>
      <c r="M60" s="3" t="n">
        <v>2.8</v>
      </c>
      <c r="N60" s="2" t="s">
        <v>322</v>
      </c>
      <c r="O60" s="2" t="s">
        <v>323</v>
      </c>
      <c r="P60" s="2" t="s">
        <v>324</v>
      </c>
      <c r="Q60" s="2" t="s">
        <v>334</v>
      </c>
    </row>
    <row r="61" customFormat="false" ht="15" hidden="false" customHeight="false" outlineLevel="0" collapsed="false">
      <c r="A61" s="2" t="s">
        <v>140</v>
      </c>
      <c r="B61" s="2" t="s">
        <v>155</v>
      </c>
      <c r="C61" s="2" t="s">
        <v>331</v>
      </c>
      <c r="D61" s="2" t="s">
        <v>318</v>
      </c>
      <c r="E61" s="2" t="s">
        <v>346</v>
      </c>
      <c r="F61" s="2" t="s">
        <v>347</v>
      </c>
      <c r="G61" s="2"/>
      <c r="H61" s="3"/>
      <c r="I61" s="3"/>
      <c r="J61" s="3"/>
      <c r="K61" s="3" t="n">
        <v>139.42</v>
      </c>
      <c r="L61" s="3"/>
      <c r="M61" s="3" t="n">
        <v>139.42</v>
      </c>
      <c r="N61" s="2" t="s">
        <v>322</v>
      </c>
      <c r="O61" s="2" t="s">
        <v>348</v>
      </c>
      <c r="P61" s="2" t="s">
        <v>349</v>
      </c>
      <c r="Q61" s="2" t="s">
        <v>350</v>
      </c>
    </row>
    <row r="62" customFormat="false" ht="15" hidden="false" customHeight="false" outlineLevel="0" collapsed="false">
      <c r="A62" s="2" t="s">
        <v>140</v>
      </c>
      <c r="B62" s="2" t="s">
        <v>155</v>
      </c>
      <c r="C62" s="2" t="s">
        <v>331</v>
      </c>
      <c r="D62" s="2" t="s">
        <v>318</v>
      </c>
      <c r="E62" s="2" t="s">
        <v>351</v>
      </c>
      <c r="F62" s="2" t="s">
        <v>352</v>
      </c>
      <c r="G62" s="2"/>
      <c r="H62" s="3"/>
      <c r="I62" s="3"/>
      <c r="J62" s="3"/>
      <c r="K62" s="3" t="n">
        <v>12.05</v>
      </c>
      <c r="L62" s="3"/>
      <c r="M62" s="3" t="n">
        <v>12.05</v>
      </c>
      <c r="N62" s="2" t="s">
        <v>322</v>
      </c>
      <c r="O62" s="2" t="s">
        <v>348</v>
      </c>
      <c r="P62" s="2" t="s">
        <v>337</v>
      </c>
      <c r="Q62" s="2" t="s">
        <v>350</v>
      </c>
    </row>
    <row r="63" customFormat="false" ht="15" hidden="false" customHeight="false" outlineLevel="0" collapsed="false">
      <c r="A63" s="2" t="s">
        <v>140</v>
      </c>
      <c r="B63" s="2" t="s">
        <v>155</v>
      </c>
      <c r="C63" s="2" t="s">
        <v>331</v>
      </c>
      <c r="D63" s="2" t="s">
        <v>318</v>
      </c>
      <c r="E63" s="2" t="s">
        <v>353</v>
      </c>
      <c r="F63" s="2" t="s">
        <v>354</v>
      </c>
      <c r="G63" s="2"/>
      <c r="H63" s="3"/>
      <c r="I63" s="3"/>
      <c r="J63" s="3"/>
      <c r="K63" s="3" t="n">
        <v>30.6</v>
      </c>
      <c r="L63" s="3"/>
      <c r="M63" s="3" t="n">
        <v>30.6</v>
      </c>
      <c r="N63" s="2" t="s">
        <v>322</v>
      </c>
      <c r="O63" s="2" t="s">
        <v>348</v>
      </c>
      <c r="P63" s="2" t="s">
        <v>337</v>
      </c>
      <c r="Q63" s="2" t="s">
        <v>350</v>
      </c>
    </row>
    <row r="64" customFormat="false" ht="15" hidden="false" customHeight="false" outlineLevel="0" collapsed="false">
      <c r="A64" s="2" t="s">
        <v>140</v>
      </c>
      <c r="B64" s="2" t="s">
        <v>155</v>
      </c>
      <c r="C64" s="2" t="s">
        <v>331</v>
      </c>
      <c r="D64" s="2" t="s">
        <v>318</v>
      </c>
      <c r="E64" s="2" t="s">
        <v>355</v>
      </c>
      <c r="F64" s="2" t="s">
        <v>356</v>
      </c>
      <c r="G64" s="2"/>
      <c r="H64" s="3"/>
      <c r="I64" s="3"/>
      <c r="J64" s="3"/>
      <c r="K64" s="3" t="n">
        <v>188.4</v>
      </c>
      <c r="L64" s="3"/>
      <c r="M64" s="3" t="n">
        <v>188.4</v>
      </c>
      <c r="N64" s="2" t="s">
        <v>322</v>
      </c>
      <c r="O64" s="2" t="s">
        <v>348</v>
      </c>
      <c r="P64" s="2" t="s">
        <v>337</v>
      </c>
      <c r="Q64" s="2" t="s">
        <v>350</v>
      </c>
    </row>
    <row r="65" customFormat="false" ht="15" hidden="false" customHeight="false" outlineLevel="0" collapsed="false">
      <c r="A65" s="2" t="s">
        <v>140</v>
      </c>
      <c r="B65" s="2" t="s">
        <v>155</v>
      </c>
      <c r="C65" s="2" t="s">
        <v>357</v>
      </c>
      <c r="D65" s="2" t="s">
        <v>318</v>
      </c>
      <c r="E65" s="2" t="s">
        <v>358</v>
      </c>
      <c r="F65" s="2" t="s">
        <v>359</v>
      </c>
      <c r="G65" s="2"/>
      <c r="H65" s="3"/>
      <c r="I65" s="3"/>
      <c r="J65" s="3"/>
      <c r="K65" s="3"/>
      <c r="L65" s="3" t="n">
        <v>83.65</v>
      </c>
      <c r="M65" s="3" t="n">
        <v>83.65</v>
      </c>
      <c r="N65" s="2" t="s">
        <v>360</v>
      </c>
      <c r="O65" s="2" t="s">
        <v>348</v>
      </c>
      <c r="P65" s="2" t="s">
        <v>349</v>
      </c>
      <c r="Q65" s="2" t="s">
        <v>361</v>
      </c>
    </row>
    <row r="66" customFormat="false" ht="15" hidden="false" customHeight="false" outlineLevel="0" collapsed="false">
      <c r="A66" s="2" t="s">
        <v>140</v>
      </c>
      <c r="B66" s="2" t="s">
        <v>155</v>
      </c>
      <c r="C66" s="2" t="s">
        <v>357</v>
      </c>
      <c r="D66" s="2" t="s">
        <v>318</v>
      </c>
      <c r="E66" s="2" t="s">
        <v>362</v>
      </c>
      <c r="F66" s="2" t="s">
        <v>363</v>
      </c>
      <c r="G66" s="2"/>
      <c r="H66" s="3"/>
      <c r="I66" s="3"/>
      <c r="J66" s="3"/>
      <c r="K66" s="3"/>
      <c r="L66" s="3" t="n">
        <v>1375.27</v>
      </c>
      <c r="M66" s="3" t="n">
        <v>1375.27</v>
      </c>
      <c r="N66" s="2" t="s">
        <v>360</v>
      </c>
      <c r="O66" s="2" t="s">
        <v>348</v>
      </c>
      <c r="P66" s="2" t="s">
        <v>337</v>
      </c>
      <c r="Q66" s="2" t="s">
        <v>361</v>
      </c>
    </row>
    <row r="67" customFormat="false" ht="15" hidden="false" customHeight="false" outlineLevel="0" collapsed="false">
      <c r="A67" s="2" t="s">
        <v>163</v>
      </c>
      <c r="B67" s="2" t="s">
        <v>179</v>
      </c>
      <c r="C67" s="2" t="s">
        <v>317</v>
      </c>
      <c r="D67" s="2" t="s">
        <v>318</v>
      </c>
      <c r="E67" s="2" t="s">
        <v>319</v>
      </c>
      <c r="F67" s="2" t="s">
        <v>320</v>
      </c>
      <c r="G67" s="2" t="s">
        <v>321</v>
      </c>
      <c r="H67" s="3" t="n">
        <v>80</v>
      </c>
      <c r="I67" s="3"/>
      <c r="J67" s="3" t="n">
        <v>61.06</v>
      </c>
      <c r="K67" s="3" t="n">
        <v>4884.62</v>
      </c>
      <c r="L67" s="3"/>
      <c r="M67" s="3" t="n">
        <v>4884.62</v>
      </c>
      <c r="N67" s="2" t="s">
        <v>322</v>
      </c>
      <c r="O67" s="2" t="s">
        <v>323</v>
      </c>
      <c r="P67" s="2" t="s">
        <v>324</v>
      </c>
      <c r="Q67" s="2" t="s">
        <v>317</v>
      </c>
    </row>
    <row r="68" customFormat="false" ht="15" hidden="false" customHeight="false" outlineLevel="0" collapsed="false">
      <c r="A68" s="2" t="s">
        <v>163</v>
      </c>
      <c r="B68" s="2" t="s">
        <v>179</v>
      </c>
      <c r="C68" s="2" t="s">
        <v>317</v>
      </c>
      <c r="D68" s="2" t="s">
        <v>318</v>
      </c>
      <c r="E68" s="2" t="s">
        <v>328</v>
      </c>
      <c r="F68" s="2" t="s">
        <v>329</v>
      </c>
      <c r="G68" s="2"/>
      <c r="H68" s="3"/>
      <c r="I68" s="3"/>
      <c r="J68" s="3"/>
      <c r="K68" s="3" t="n">
        <v>3.76</v>
      </c>
      <c r="L68" s="3"/>
      <c r="M68" s="3" t="n">
        <v>3.76</v>
      </c>
      <c r="N68" s="2" t="s">
        <v>322</v>
      </c>
      <c r="O68" s="2" t="s">
        <v>323</v>
      </c>
      <c r="P68" s="2" t="s">
        <v>324</v>
      </c>
      <c r="Q68" s="2" t="s">
        <v>330</v>
      </c>
    </row>
    <row r="69" customFormat="false" ht="15" hidden="false" customHeight="false" outlineLevel="0" collapsed="false">
      <c r="A69" s="2" t="s">
        <v>163</v>
      </c>
      <c r="B69" s="2" t="s">
        <v>179</v>
      </c>
      <c r="C69" s="2" t="s">
        <v>331</v>
      </c>
      <c r="D69" s="2" t="s">
        <v>318</v>
      </c>
      <c r="E69" s="2" t="s">
        <v>332</v>
      </c>
      <c r="F69" s="2" t="s">
        <v>333</v>
      </c>
      <c r="G69" s="2"/>
      <c r="H69" s="3"/>
      <c r="I69" s="3" t="n">
        <v>4325.67</v>
      </c>
      <c r="J69" s="3"/>
      <c r="K69" s="3" t="n">
        <v>629.11</v>
      </c>
      <c r="L69" s="3"/>
      <c r="M69" s="3" t="n">
        <v>629.11</v>
      </c>
      <c r="N69" s="2" t="s">
        <v>322</v>
      </c>
      <c r="O69" s="2" t="s">
        <v>323</v>
      </c>
      <c r="P69" s="2" t="s">
        <v>324</v>
      </c>
      <c r="Q69" s="2" t="s">
        <v>334</v>
      </c>
    </row>
    <row r="70" customFormat="false" ht="15" hidden="false" customHeight="false" outlineLevel="0" collapsed="false">
      <c r="A70" s="2" t="s">
        <v>163</v>
      </c>
      <c r="B70" s="2" t="s">
        <v>179</v>
      </c>
      <c r="C70" s="2" t="s">
        <v>331</v>
      </c>
      <c r="D70" s="2" t="s">
        <v>318</v>
      </c>
      <c r="E70" s="2" t="s">
        <v>335</v>
      </c>
      <c r="F70" s="2" t="s">
        <v>336</v>
      </c>
      <c r="G70" s="2"/>
      <c r="H70" s="3"/>
      <c r="I70" s="3" t="n">
        <v>4814.13</v>
      </c>
      <c r="J70" s="3"/>
      <c r="K70" s="3" t="n">
        <v>69.8</v>
      </c>
      <c r="L70" s="3"/>
      <c r="M70" s="3" t="n">
        <v>69.8</v>
      </c>
      <c r="N70" s="2" t="s">
        <v>322</v>
      </c>
      <c r="O70" s="2" t="s">
        <v>323</v>
      </c>
      <c r="P70" s="2" t="s">
        <v>337</v>
      </c>
      <c r="Q70" s="2" t="s">
        <v>334</v>
      </c>
    </row>
    <row r="71" customFormat="false" ht="15" hidden="false" customHeight="false" outlineLevel="0" collapsed="false">
      <c r="A71" s="2" t="s">
        <v>163</v>
      </c>
      <c r="B71" s="2" t="s">
        <v>179</v>
      </c>
      <c r="C71" s="2" t="s">
        <v>331</v>
      </c>
      <c r="D71" s="2" t="s">
        <v>318</v>
      </c>
      <c r="E71" s="2" t="s">
        <v>338</v>
      </c>
      <c r="F71" s="2" t="s">
        <v>339</v>
      </c>
      <c r="G71" s="2"/>
      <c r="H71" s="3"/>
      <c r="I71" s="3" t="n">
        <v>4814.13</v>
      </c>
      <c r="J71" s="3"/>
      <c r="K71" s="3" t="n">
        <v>298.48</v>
      </c>
      <c r="L71" s="3"/>
      <c r="M71" s="3" t="n">
        <v>298.48</v>
      </c>
      <c r="N71" s="2" t="s">
        <v>322</v>
      </c>
      <c r="O71" s="2" t="s">
        <v>323</v>
      </c>
      <c r="P71" s="2" t="s">
        <v>324</v>
      </c>
      <c r="Q71" s="2" t="s">
        <v>334</v>
      </c>
    </row>
    <row r="72" customFormat="false" ht="15" hidden="false" customHeight="false" outlineLevel="0" collapsed="false">
      <c r="A72" s="2" t="s">
        <v>163</v>
      </c>
      <c r="B72" s="2" t="s">
        <v>179</v>
      </c>
      <c r="C72" s="2" t="s">
        <v>331</v>
      </c>
      <c r="D72" s="2" t="s">
        <v>318</v>
      </c>
      <c r="E72" s="2" t="s">
        <v>340</v>
      </c>
      <c r="F72" s="2" t="s">
        <v>341</v>
      </c>
      <c r="G72" s="2"/>
      <c r="H72" s="3"/>
      <c r="I72" s="3" t="n">
        <v>4888.38</v>
      </c>
      <c r="J72" s="3"/>
      <c r="K72" s="3" t="n">
        <v>29.33</v>
      </c>
      <c r="L72" s="3"/>
      <c r="M72" s="3" t="n">
        <v>29.33</v>
      </c>
      <c r="N72" s="2" t="s">
        <v>322</v>
      </c>
      <c r="O72" s="2" t="s">
        <v>323</v>
      </c>
      <c r="P72" s="2" t="s">
        <v>337</v>
      </c>
      <c r="Q72" s="2" t="s">
        <v>334</v>
      </c>
    </row>
    <row r="73" customFormat="false" ht="15" hidden="false" customHeight="false" outlineLevel="0" collapsed="false">
      <c r="A73" s="2" t="s">
        <v>163</v>
      </c>
      <c r="B73" s="2" t="s">
        <v>179</v>
      </c>
      <c r="C73" s="2" t="s">
        <v>331</v>
      </c>
      <c r="D73" s="2" t="s">
        <v>318</v>
      </c>
      <c r="E73" s="2" t="s">
        <v>342</v>
      </c>
      <c r="F73" s="2" t="s">
        <v>343</v>
      </c>
      <c r="G73" s="2"/>
      <c r="H73" s="3"/>
      <c r="I73" s="3" t="n">
        <v>4325.67</v>
      </c>
      <c r="J73" s="3"/>
      <c r="K73" s="3" t="n">
        <v>337.38</v>
      </c>
      <c r="L73" s="3"/>
      <c r="M73" s="3" t="n">
        <v>337.38</v>
      </c>
      <c r="N73" s="2" t="s">
        <v>322</v>
      </c>
      <c r="O73" s="2" t="s">
        <v>323</v>
      </c>
      <c r="P73" s="2" t="s">
        <v>324</v>
      </c>
      <c r="Q73" s="2" t="s">
        <v>334</v>
      </c>
    </row>
    <row r="74" customFormat="false" ht="15" hidden="false" customHeight="false" outlineLevel="0" collapsed="false">
      <c r="A74" s="2" t="s">
        <v>163</v>
      </c>
      <c r="B74" s="2" t="s">
        <v>179</v>
      </c>
      <c r="C74" s="2" t="s">
        <v>331</v>
      </c>
      <c r="D74" s="2" t="s">
        <v>318</v>
      </c>
      <c r="E74" s="2" t="s">
        <v>344</v>
      </c>
      <c r="F74" s="2" t="s">
        <v>345</v>
      </c>
      <c r="G74" s="2"/>
      <c r="H74" s="3"/>
      <c r="I74" s="3" t="n">
        <v>4888.38</v>
      </c>
      <c r="J74" s="3"/>
      <c r="K74" s="3" t="n">
        <v>4.89</v>
      </c>
      <c r="L74" s="3"/>
      <c r="M74" s="3" t="n">
        <v>4.89</v>
      </c>
      <c r="N74" s="2" t="s">
        <v>322</v>
      </c>
      <c r="O74" s="2" t="s">
        <v>323</v>
      </c>
      <c r="P74" s="2" t="s">
        <v>324</v>
      </c>
      <c r="Q74" s="2" t="s">
        <v>334</v>
      </c>
    </row>
    <row r="75" customFormat="false" ht="15" hidden="false" customHeight="false" outlineLevel="0" collapsed="false">
      <c r="A75" s="2" t="s">
        <v>163</v>
      </c>
      <c r="B75" s="2" t="s">
        <v>179</v>
      </c>
      <c r="C75" s="2" t="s">
        <v>331</v>
      </c>
      <c r="D75" s="2" t="s">
        <v>318</v>
      </c>
      <c r="E75" s="2" t="s">
        <v>346</v>
      </c>
      <c r="F75" s="2" t="s">
        <v>347</v>
      </c>
      <c r="G75" s="2"/>
      <c r="H75" s="3"/>
      <c r="I75" s="3"/>
      <c r="J75" s="3"/>
      <c r="K75" s="3" t="n">
        <v>488.46</v>
      </c>
      <c r="L75" s="3"/>
      <c r="M75" s="3" t="n">
        <v>488.46</v>
      </c>
      <c r="N75" s="2" t="s">
        <v>322</v>
      </c>
      <c r="O75" s="2" t="s">
        <v>348</v>
      </c>
      <c r="P75" s="2" t="s">
        <v>349</v>
      </c>
      <c r="Q75" s="2" t="s">
        <v>350</v>
      </c>
    </row>
    <row r="76" customFormat="false" ht="15" hidden="false" customHeight="false" outlineLevel="0" collapsed="false">
      <c r="A76" s="2" t="s">
        <v>163</v>
      </c>
      <c r="B76" s="2" t="s">
        <v>179</v>
      </c>
      <c r="C76" s="2" t="s">
        <v>331</v>
      </c>
      <c r="D76" s="2" t="s">
        <v>318</v>
      </c>
      <c r="E76" s="2" t="s">
        <v>351</v>
      </c>
      <c r="F76" s="2" t="s">
        <v>352</v>
      </c>
      <c r="G76" s="2"/>
      <c r="H76" s="3"/>
      <c r="I76" s="3"/>
      <c r="J76" s="3"/>
      <c r="K76" s="3" t="n">
        <v>4.25</v>
      </c>
      <c r="L76" s="3"/>
      <c r="M76" s="3" t="n">
        <v>4.25</v>
      </c>
      <c r="N76" s="2" t="s">
        <v>322</v>
      </c>
      <c r="O76" s="2" t="s">
        <v>348</v>
      </c>
      <c r="P76" s="2" t="s">
        <v>337</v>
      </c>
      <c r="Q76" s="2" t="s">
        <v>350</v>
      </c>
    </row>
    <row r="77" customFormat="false" ht="15" hidden="false" customHeight="false" outlineLevel="0" collapsed="false">
      <c r="A77" s="2" t="s">
        <v>163</v>
      </c>
      <c r="B77" s="2" t="s">
        <v>179</v>
      </c>
      <c r="C77" s="2" t="s">
        <v>331</v>
      </c>
      <c r="D77" s="2" t="s">
        <v>318</v>
      </c>
      <c r="E77" s="2" t="s">
        <v>353</v>
      </c>
      <c r="F77" s="2" t="s">
        <v>354</v>
      </c>
      <c r="G77" s="2"/>
      <c r="H77" s="3"/>
      <c r="I77" s="3"/>
      <c r="J77" s="3"/>
      <c r="K77" s="3" t="n">
        <v>10.2</v>
      </c>
      <c r="L77" s="3"/>
      <c r="M77" s="3" t="n">
        <v>10.2</v>
      </c>
      <c r="N77" s="2" t="s">
        <v>322</v>
      </c>
      <c r="O77" s="2" t="s">
        <v>348</v>
      </c>
      <c r="P77" s="2" t="s">
        <v>337</v>
      </c>
      <c r="Q77" s="2" t="s">
        <v>350</v>
      </c>
    </row>
    <row r="78" customFormat="false" ht="15" hidden="false" customHeight="false" outlineLevel="0" collapsed="false">
      <c r="A78" s="2" t="s">
        <v>163</v>
      </c>
      <c r="B78" s="2" t="s">
        <v>179</v>
      </c>
      <c r="C78" s="2" t="s">
        <v>331</v>
      </c>
      <c r="D78" s="2" t="s">
        <v>318</v>
      </c>
      <c r="E78" s="2" t="s">
        <v>355</v>
      </c>
      <c r="F78" s="2" t="s">
        <v>356</v>
      </c>
      <c r="G78" s="2"/>
      <c r="H78" s="3"/>
      <c r="I78" s="3"/>
      <c r="J78" s="3"/>
      <c r="K78" s="3" t="n">
        <v>59.8</v>
      </c>
      <c r="L78" s="3"/>
      <c r="M78" s="3" t="n">
        <v>59.8</v>
      </c>
      <c r="N78" s="2" t="s">
        <v>322</v>
      </c>
      <c r="O78" s="2" t="s">
        <v>348</v>
      </c>
      <c r="P78" s="2" t="s">
        <v>337</v>
      </c>
      <c r="Q78" s="2" t="s">
        <v>350</v>
      </c>
    </row>
    <row r="79" customFormat="false" ht="15" hidden="false" customHeight="false" outlineLevel="0" collapsed="false">
      <c r="A79" s="2" t="s">
        <v>163</v>
      </c>
      <c r="B79" s="2" t="s">
        <v>179</v>
      </c>
      <c r="C79" s="2" t="s">
        <v>357</v>
      </c>
      <c r="D79" s="2" t="s">
        <v>318</v>
      </c>
      <c r="E79" s="2" t="s">
        <v>358</v>
      </c>
      <c r="F79" s="2" t="s">
        <v>359</v>
      </c>
      <c r="G79" s="2"/>
      <c r="H79" s="3"/>
      <c r="I79" s="3"/>
      <c r="J79" s="3"/>
      <c r="K79" s="3"/>
      <c r="L79" s="3" t="n">
        <v>146.54</v>
      </c>
      <c r="M79" s="3" t="n">
        <v>146.54</v>
      </c>
      <c r="N79" s="2" t="s">
        <v>360</v>
      </c>
      <c r="O79" s="2" t="s">
        <v>348</v>
      </c>
      <c r="P79" s="2" t="s">
        <v>349</v>
      </c>
      <c r="Q79" s="2" t="s">
        <v>361</v>
      </c>
    </row>
    <row r="80" customFormat="false" ht="15" hidden="false" customHeight="false" outlineLevel="0" collapsed="false">
      <c r="A80" s="2" t="s">
        <v>163</v>
      </c>
      <c r="B80" s="2" t="s">
        <v>179</v>
      </c>
      <c r="C80" s="2" t="s">
        <v>357</v>
      </c>
      <c r="D80" s="2" t="s">
        <v>318</v>
      </c>
      <c r="E80" s="2" t="s">
        <v>362</v>
      </c>
      <c r="F80" s="2" t="s">
        <v>363</v>
      </c>
      <c r="G80" s="2"/>
      <c r="H80" s="3"/>
      <c r="I80" s="3"/>
      <c r="J80" s="3"/>
      <c r="K80" s="3"/>
      <c r="L80" s="3" t="n">
        <v>269.38</v>
      </c>
      <c r="M80" s="3" t="n">
        <v>269.38</v>
      </c>
      <c r="N80" s="2" t="s">
        <v>360</v>
      </c>
      <c r="O80" s="2" t="s">
        <v>348</v>
      </c>
      <c r="P80" s="2" t="s">
        <v>337</v>
      </c>
      <c r="Q80" s="2" t="s">
        <v>361</v>
      </c>
    </row>
    <row r="81" customFormat="false" ht="15" hidden="false" customHeight="false" outlineLevel="0" collapsed="false">
      <c r="A81" s="2" t="s">
        <v>188</v>
      </c>
      <c r="B81" s="2" t="s">
        <v>201</v>
      </c>
      <c r="C81" s="2" t="s">
        <v>317</v>
      </c>
      <c r="D81" s="2" t="s">
        <v>318</v>
      </c>
      <c r="E81" s="2" t="s">
        <v>319</v>
      </c>
      <c r="F81" s="2" t="s">
        <v>320</v>
      </c>
      <c r="G81" s="2" t="s">
        <v>321</v>
      </c>
      <c r="H81" s="3" t="n">
        <v>40</v>
      </c>
      <c r="I81" s="3"/>
      <c r="J81" s="3" t="n">
        <v>51.92</v>
      </c>
      <c r="K81" s="3" t="n">
        <v>2077.05</v>
      </c>
      <c r="L81" s="3"/>
      <c r="M81" s="3" t="n">
        <v>2077.05</v>
      </c>
      <c r="N81" s="2" t="s">
        <v>322</v>
      </c>
      <c r="O81" s="2" t="s">
        <v>323</v>
      </c>
      <c r="P81" s="2" t="s">
        <v>324</v>
      </c>
      <c r="Q81" s="2" t="s">
        <v>317</v>
      </c>
    </row>
    <row r="82" customFormat="false" ht="15" hidden="false" customHeight="false" outlineLevel="0" collapsed="false">
      <c r="A82" s="2" t="s">
        <v>188</v>
      </c>
      <c r="B82" s="2" t="s">
        <v>201</v>
      </c>
      <c r="C82" s="2" t="s">
        <v>317</v>
      </c>
      <c r="D82" s="2" t="s">
        <v>318</v>
      </c>
      <c r="E82" s="2" t="s">
        <v>325</v>
      </c>
      <c r="F82" s="2" t="s">
        <v>326</v>
      </c>
      <c r="G82" s="2" t="s">
        <v>321</v>
      </c>
      <c r="H82" s="3" t="n">
        <v>40</v>
      </c>
      <c r="I82" s="3"/>
      <c r="J82" s="3" t="n">
        <v>51.92</v>
      </c>
      <c r="K82" s="3" t="n">
        <v>2076.8</v>
      </c>
      <c r="L82" s="3"/>
      <c r="M82" s="3" t="n">
        <v>2076.8</v>
      </c>
      <c r="N82" s="2" t="s">
        <v>322</v>
      </c>
      <c r="O82" s="2" t="s">
        <v>323</v>
      </c>
      <c r="P82" s="2" t="s">
        <v>327</v>
      </c>
      <c r="Q82" s="2" t="s">
        <v>317</v>
      </c>
    </row>
    <row r="83" customFormat="false" ht="15" hidden="false" customHeight="false" outlineLevel="0" collapsed="false">
      <c r="A83" s="2" t="s">
        <v>188</v>
      </c>
      <c r="B83" s="2" t="s">
        <v>201</v>
      </c>
      <c r="C83" s="2" t="s">
        <v>317</v>
      </c>
      <c r="D83" s="2" t="s">
        <v>318</v>
      </c>
      <c r="E83" s="2" t="s">
        <v>328</v>
      </c>
      <c r="F83" s="2" t="s">
        <v>329</v>
      </c>
      <c r="G83" s="2"/>
      <c r="H83" s="3"/>
      <c r="I83" s="3"/>
      <c r="J83" s="3"/>
      <c r="K83" s="3" t="n">
        <v>3.63</v>
      </c>
      <c r="L83" s="3"/>
      <c r="M83" s="3" t="n">
        <v>3.63</v>
      </c>
      <c r="N83" s="2" t="s">
        <v>322</v>
      </c>
      <c r="O83" s="2" t="s">
        <v>323</v>
      </c>
      <c r="P83" s="2" t="s">
        <v>324</v>
      </c>
      <c r="Q83" s="2" t="s">
        <v>330</v>
      </c>
    </row>
    <row r="84" customFormat="false" ht="15" hidden="false" customHeight="false" outlineLevel="0" collapsed="false">
      <c r="A84" s="2" t="s">
        <v>188</v>
      </c>
      <c r="B84" s="2" t="s">
        <v>201</v>
      </c>
      <c r="C84" s="2" t="s">
        <v>331</v>
      </c>
      <c r="D84" s="2" t="s">
        <v>318</v>
      </c>
      <c r="E84" s="2" t="s">
        <v>332</v>
      </c>
      <c r="F84" s="2" t="s">
        <v>333</v>
      </c>
      <c r="G84" s="2"/>
      <c r="H84" s="3"/>
      <c r="I84" s="3" t="n">
        <v>3451.37</v>
      </c>
      <c r="J84" s="3"/>
      <c r="K84" s="3" t="n">
        <v>257.36</v>
      </c>
      <c r="L84" s="3"/>
      <c r="M84" s="3" t="n">
        <v>257.36</v>
      </c>
      <c r="N84" s="2" t="s">
        <v>322</v>
      </c>
      <c r="O84" s="2" t="s">
        <v>323</v>
      </c>
      <c r="P84" s="2" t="s">
        <v>324</v>
      </c>
      <c r="Q84" s="2" t="s">
        <v>334</v>
      </c>
    </row>
    <row r="85" customFormat="false" ht="15" hidden="false" customHeight="false" outlineLevel="0" collapsed="false">
      <c r="A85" s="2" t="s">
        <v>188</v>
      </c>
      <c r="B85" s="2" t="s">
        <v>201</v>
      </c>
      <c r="C85" s="2" t="s">
        <v>331</v>
      </c>
      <c r="D85" s="2" t="s">
        <v>318</v>
      </c>
      <c r="E85" s="2" t="s">
        <v>335</v>
      </c>
      <c r="F85" s="2" t="s">
        <v>336</v>
      </c>
      <c r="G85" s="2"/>
      <c r="H85" s="3"/>
      <c r="I85" s="3" t="n">
        <v>3949.83</v>
      </c>
      <c r="J85" s="3"/>
      <c r="K85" s="3" t="n">
        <v>57.27</v>
      </c>
      <c r="L85" s="3"/>
      <c r="M85" s="3" t="n">
        <v>57.27</v>
      </c>
      <c r="N85" s="2" t="s">
        <v>322</v>
      </c>
      <c r="O85" s="2" t="s">
        <v>323</v>
      </c>
      <c r="P85" s="2" t="s">
        <v>337</v>
      </c>
      <c r="Q85" s="2" t="s">
        <v>334</v>
      </c>
    </row>
    <row r="86" customFormat="false" ht="15" hidden="false" customHeight="false" outlineLevel="0" collapsed="false">
      <c r="A86" s="2" t="s">
        <v>188</v>
      </c>
      <c r="B86" s="2" t="s">
        <v>201</v>
      </c>
      <c r="C86" s="2" t="s">
        <v>331</v>
      </c>
      <c r="D86" s="2" t="s">
        <v>318</v>
      </c>
      <c r="E86" s="2" t="s">
        <v>338</v>
      </c>
      <c r="F86" s="2" t="s">
        <v>339</v>
      </c>
      <c r="G86" s="2"/>
      <c r="H86" s="3"/>
      <c r="I86" s="3" t="n">
        <v>3949.83</v>
      </c>
      <c r="J86" s="3"/>
      <c r="K86" s="3" t="n">
        <v>244.89</v>
      </c>
      <c r="L86" s="3"/>
      <c r="M86" s="3" t="n">
        <v>244.89</v>
      </c>
      <c r="N86" s="2" t="s">
        <v>322</v>
      </c>
      <c r="O86" s="2" t="s">
        <v>323</v>
      </c>
      <c r="P86" s="2" t="s">
        <v>324</v>
      </c>
      <c r="Q86" s="2" t="s">
        <v>334</v>
      </c>
    </row>
    <row r="87" customFormat="false" ht="15" hidden="false" customHeight="false" outlineLevel="0" collapsed="false">
      <c r="A87" s="2" t="s">
        <v>188</v>
      </c>
      <c r="B87" s="2" t="s">
        <v>201</v>
      </c>
      <c r="C87" s="2" t="s">
        <v>331</v>
      </c>
      <c r="D87" s="2" t="s">
        <v>318</v>
      </c>
      <c r="E87" s="2" t="s">
        <v>340</v>
      </c>
      <c r="F87" s="2" t="s">
        <v>341</v>
      </c>
      <c r="G87" s="2"/>
      <c r="H87" s="3"/>
      <c r="I87" s="3" t="n">
        <v>4157.48</v>
      </c>
      <c r="J87" s="3"/>
      <c r="K87" s="3" t="n">
        <v>24.94</v>
      </c>
      <c r="L87" s="3"/>
      <c r="M87" s="3" t="n">
        <v>24.94</v>
      </c>
      <c r="N87" s="2" t="s">
        <v>322</v>
      </c>
      <c r="O87" s="2" t="s">
        <v>323</v>
      </c>
      <c r="P87" s="2" t="s">
        <v>337</v>
      </c>
      <c r="Q87" s="2" t="s">
        <v>334</v>
      </c>
    </row>
    <row r="88" customFormat="false" ht="15" hidden="false" customHeight="false" outlineLevel="0" collapsed="false">
      <c r="A88" s="2" t="s">
        <v>188</v>
      </c>
      <c r="B88" s="2" t="s">
        <v>201</v>
      </c>
      <c r="C88" s="2" t="s">
        <v>331</v>
      </c>
      <c r="D88" s="2" t="s">
        <v>318</v>
      </c>
      <c r="E88" s="2" t="s">
        <v>342</v>
      </c>
      <c r="F88" s="2" t="s">
        <v>343</v>
      </c>
      <c r="G88" s="2"/>
      <c r="H88" s="3"/>
      <c r="I88" s="3" t="n">
        <v>3451.37</v>
      </c>
      <c r="J88" s="3"/>
      <c r="K88" s="3" t="n">
        <v>229.61</v>
      </c>
      <c r="L88" s="3"/>
      <c r="M88" s="3" t="n">
        <v>229.61</v>
      </c>
      <c r="N88" s="2" t="s">
        <v>322</v>
      </c>
      <c r="O88" s="2" t="s">
        <v>323</v>
      </c>
      <c r="P88" s="2" t="s">
        <v>324</v>
      </c>
      <c r="Q88" s="2" t="s">
        <v>334</v>
      </c>
    </row>
    <row r="89" customFormat="false" ht="15" hidden="false" customHeight="false" outlineLevel="0" collapsed="false">
      <c r="A89" s="2" t="s">
        <v>188</v>
      </c>
      <c r="B89" s="2" t="s">
        <v>201</v>
      </c>
      <c r="C89" s="2" t="s">
        <v>331</v>
      </c>
      <c r="D89" s="2" t="s">
        <v>318</v>
      </c>
      <c r="E89" s="2" t="s">
        <v>344</v>
      </c>
      <c r="F89" s="2" t="s">
        <v>345</v>
      </c>
      <c r="G89" s="2"/>
      <c r="H89" s="3"/>
      <c r="I89" s="3" t="n">
        <v>4157.48</v>
      </c>
      <c r="J89" s="3"/>
      <c r="K89" s="3" t="n">
        <v>4.16</v>
      </c>
      <c r="L89" s="3"/>
      <c r="M89" s="3" t="n">
        <v>4.16</v>
      </c>
      <c r="N89" s="2" t="s">
        <v>322</v>
      </c>
      <c r="O89" s="2" t="s">
        <v>323</v>
      </c>
      <c r="P89" s="2" t="s">
        <v>324</v>
      </c>
      <c r="Q89" s="2" t="s">
        <v>334</v>
      </c>
    </row>
    <row r="90" customFormat="false" ht="15" hidden="false" customHeight="false" outlineLevel="0" collapsed="false">
      <c r="A90" s="2" t="s">
        <v>188</v>
      </c>
      <c r="B90" s="2" t="s">
        <v>201</v>
      </c>
      <c r="C90" s="2" t="s">
        <v>331</v>
      </c>
      <c r="D90" s="2" t="s">
        <v>318</v>
      </c>
      <c r="E90" s="2" t="s">
        <v>346</v>
      </c>
      <c r="F90" s="2" t="s">
        <v>347</v>
      </c>
      <c r="G90" s="2"/>
      <c r="H90" s="3"/>
      <c r="I90" s="3"/>
      <c r="J90" s="3"/>
      <c r="K90" s="3" t="n">
        <v>498.46</v>
      </c>
      <c r="L90" s="3"/>
      <c r="M90" s="3" t="n">
        <v>498.46</v>
      </c>
      <c r="N90" s="2" t="s">
        <v>322</v>
      </c>
      <c r="O90" s="2" t="s">
        <v>348</v>
      </c>
      <c r="P90" s="2" t="s">
        <v>349</v>
      </c>
      <c r="Q90" s="2" t="s">
        <v>350</v>
      </c>
    </row>
    <row r="91" customFormat="false" ht="15" hidden="false" customHeight="false" outlineLevel="0" collapsed="false">
      <c r="A91" s="2" t="s">
        <v>188</v>
      </c>
      <c r="B91" s="2" t="s">
        <v>201</v>
      </c>
      <c r="C91" s="2" t="s">
        <v>331</v>
      </c>
      <c r="D91" s="2" t="s">
        <v>318</v>
      </c>
      <c r="E91" s="2" t="s">
        <v>351</v>
      </c>
      <c r="F91" s="2" t="s">
        <v>352</v>
      </c>
      <c r="G91" s="2"/>
      <c r="H91" s="3"/>
      <c r="I91" s="3"/>
      <c r="J91" s="3"/>
      <c r="K91" s="3" t="n">
        <v>10.9</v>
      </c>
      <c r="L91" s="3"/>
      <c r="M91" s="3" t="n">
        <v>10.9</v>
      </c>
      <c r="N91" s="2" t="s">
        <v>322</v>
      </c>
      <c r="O91" s="2" t="s">
        <v>348</v>
      </c>
      <c r="P91" s="2" t="s">
        <v>337</v>
      </c>
      <c r="Q91" s="2" t="s">
        <v>350</v>
      </c>
    </row>
    <row r="92" customFormat="false" ht="15" hidden="false" customHeight="false" outlineLevel="0" collapsed="false">
      <c r="A92" s="2" t="s">
        <v>188</v>
      </c>
      <c r="B92" s="2" t="s">
        <v>201</v>
      </c>
      <c r="C92" s="2" t="s">
        <v>331</v>
      </c>
      <c r="D92" s="2" t="s">
        <v>318</v>
      </c>
      <c r="E92" s="2" t="s">
        <v>353</v>
      </c>
      <c r="F92" s="2" t="s">
        <v>354</v>
      </c>
      <c r="G92" s="2"/>
      <c r="H92" s="3"/>
      <c r="I92" s="3"/>
      <c r="J92" s="3"/>
      <c r="K92" s="3" t="n">
        <v>27.45</v>
      </c>
      <c r="L92" s="3"/>
      <c r="M92" s="3" t="n">
        <v>27.45</v>
      </c>
      <c r="N92" s="2" t="s">
        <v>322</v>
      </c>
      <c r="O92" s="2" t="s">
        <v>348</v>
      </c>
      <c r="P92" s="2" t="s">
        <v>337</v>
      </c>
      <c r="Q92" s="2" t="s">
        <v>350</v>
      </c>
    </row>
    <row r="93" customFormat="false" ht="15" hidden="false" customHeight="false" outlineLevel="0" collapsed="false">
      <c r="A93" s="2" t="s">
        <v>188</v>
      </c>
      <c r="B93" s="2" t="s">
        <v>201</v>
      </c>
      <c r="C93" s="2" t="s">
        <v>331</v>
      </c>
      <c r="D93" s="2" t="s">
        <v>318</v>
      </c>
      <c r="E93" s="2" t="s">
        <v>355</v>
      </c>
      <c r="F93" s="2" t="s">
        <v>356</v>
      </c>
      <c r="G93" s="2"/>
      <c r="H93" s="3"/>
      <c r="I93" s="3"/>
      <c r="J93" s="3"/>
      <c r="K93" s="3" t="n">
        <v>169.3</v>
      </c>
      <c r="L93" s="3"/>
      <c r="M93" s="3" t="n">
        <v>169.3</v>
      </c>
      <c r="N93" s="2" t="s">
        <v>322</v>
      </c>
      <c r="O93" s="2" t="s">
        <v>348</v>
      </c>
      <c r="P93" s="2" t="s">
        <v>337</v>
      </c>
      <c r="Q93" s="2" t="s">
        <v>350</v>
      </c>
    </row>
    <row r="94" customFormat="false" ht="15" hidden="false" customHeight="false" outlineLevel="0" collapsed="false">
      <c r="A94" s="2" t="s">
        <v>188</v>
      </c>
      <c r="B94" s="2" t="s">
        <v>201</v>
      </c>
      <c r="C94" s="2" t="s">
        <v>357</v>
      </c>
      <c r="D94" s="2" t="s">
        <v>318</v>
      </c>
      <c r="E94" s="2" t="s">
        <v>358</v>
      </c>
      <c r="F94" s="2" t="s">
        <v>359</v>
      </c>
      <c r="G94" s="2"/>
      <c r="H94" s="3"/>
      <c r="I94" s="3"/>
      <c r="J94" s="3"/>
      <c r="K94" s="3"/>
      <c r="L94" s="3" t="n">
        <v>124.62</v>
      </c>
      <c r="M94" s="3" t="n">
        <v>124.62</v>
      </c>
      <c r="N94" s="2" t="s">
        <v>360</v>
      </c>
      <c r="O94" s="2" t="s">
        <v>348</v>
      </c>
      <c r="P94" s="2" t="s">
        <v>349</v>
      </c>
      <c r="Q94" s="2" t="s">
        <v>361</v>
      </c>
    </row>
    <row r="95" customFormat="false" ht="15" hidden="false" customHeight="false" outlineLevel="0" collapsed="false">
      <c r="A95" s="2" t="s">
        <v>188</v>
      </c>
      <c r="B95" s="2" t="s">
        <v>201</v>
      </c>
      <c r="C95" s="2" t="s">
        <v>357</v>
      </c>
      <c r="D95" s="2" t="s">
        <v>318</v>
      </c>
      <c r="E95" s="2" t="s">
        <v>362</v>
      </c>
      <c r="F95" s="2" t="s">
        <v>363</v>
      </c>
      <c r="G95" s="2"/>
      <c r="H95" s="3"/>
      <c r="I95" s="3"/>
      <c r="J95" s="3"/>
      <c r="K95" s="3"/>
      <c r="L95" s="3" t="n">
        <v>1160.06</v>
      </c>
      <c r="M95" s="3" t="n">
        <v>1160.06</v>
      </c>
      <c r="N95" s="2" t="s">
        <v>360</v>
      </c>
      <c r="O95" s="2" t="s">
        <v>348</v>
      </c>
      <c r="P95" s="2" t="s">
        <v>337</v>
      </c>
      <c r="Q95" s="2" t="s">
        <v>361</v>
      </c>
    </row>
    <row r="96" customFormat="false" ht="15" hidden="false" customHeight="false" outlineLevel="0" collapsed="false">
      <c r="A96" s="2" t="s">
        <v>208</v>
      </c>
      <c r="B96" s="2" t="s">
        <v>224</v>
      </c>
      <c r="C96" s="2" t="s">
        <v>317</v>
      </c>
      <c r="D96" s="2" t="s">
        <v>318</v>
      </c>
      <c r="E96" s="2" t="s">
        <v>319</v>
      </c>
      <c r="F96" s="2" t="s">
        <v>320</v>
      </c>
      <c r="G96" s="2" t="s">
        <v>321</v>
      </c>
      <c r="H96" s="3" t="n">
        <v>72</v>
      </c>
      <c r="I96" s="3"/>
      <c r="J96" s="3" t="n">
        <v>41.59</v>
      </c>
      <c r="K96" s="3" t="n">
        <v>2994.2</v>
      </c>
      <c r="L96" s="3"/>
      <c r="M96" s="3" t="n">
        <v>2994.2</v>
      </c>
      <c r="N96" s="2" t="s">
        <v>322</v>
      </c>
      <c r="O96" s="2" t="s">
        <v>323</v>
      </c>
      <c r="P96" s="2" t="s">
        <v>324</v>
      </c>
      <c r="Q96" s="2" t="s">
        <v>317</v>
      </c>
    </row>
    <row r="97" customFormat="false" ht="15" hidden="false" customHeight="false" outlineLevel="0" collapsed="false">
      <c r="A97" s="2" t="s">
        <v>208</v>
      </c>
      <c r="B97" s="2" t="s">
        <v>224</v>
      </c>
      <c r="C97" s="2" t="s">
        <v>317</v>
      </c>
      <c r="D97" s="2" t="s">
        <v>318</v>
      </c>
      <c r="E97" s="2" t="s">
        <v>364</v>
      </c>
      <c r="F97" s="2" t="s">
        <v>365</v>
      </c>
      <c r="G97" s="2" t="s">
        <v>321</v>
      </c>
      <c r="H97" s="3" t="n">
        <v>8</v>
      </c>
      <c r="I97" s="3"/>
      <c r="J97" s="3" t="n">
        <v>41.59</v>
      </c>
      <c r="K97" s="3" t="n">
        <v>332.72</v>
      </c>
      <c r="L97" s="3"/>
      <c r="M97" s="3" t="n">
        <v>332.72</v>
      </c>
      <c r="N97" s="2" t="s">
        <v>322</v>
      </c>
      <c r="O97" s="2" t="s">
        <v>323</v>
      </c>
      <c r="P97" s="2" t="s">
        <v>327</v>
      </c>
      <c r="Q97" s="2" t="s">
        <v>317</v>
      </c>
    </row>
    <row r="98" customFormat="false" ht="15" hidden="false" customHeight="false" outlineLevel="0" collapsed="false">
      <c r="A98" s="2" t="s">
        <v>208</v>
      </c>
      <c r="B98" s="2" t="s">
        <v>224</v>
      </c>
      <c r="C98" s="2" t="s">
        <v>317</v>
      </c>
      <c r="D98" s="2" t="s">
        <v>318</v>
      </c>
      <c r="E98" s="2" t="s">
        <v>366</v>
      </c>
      <c r="F98" s="2" t="s">
        <v>367</v>
      </c>
      <c r="G98" s="2"/>
      <c r="H98" s="3"/>
      <c r="I98" s="3"/>
      <c r="J98" s="3"/>
      <c r="K98" s="3" t="n">
        <v>182.29</v>
      </c>
      <c r="L98" s="3"/>
      <c r="M98" s="3" t="n">
        <v>182.29</v>
      </c>
      <c r="N98" s="2" t="s">
        <v>322</v>
      </c>
      <c r="O98" s="2" t="s">
        <v>323</v>
      </c>
      <c r="P98" s="2" t="s">
        <v>324</v>
      </c>
      <c r="Q98" s="2" t="s">
        <v>330</v>
      </c>
    </row>
    <row r="99" customFormat="false" ht="15" hidden="false" customHeight="false" outlineLevel="0" collapsed="false">
      <c r="A99" s="2" t="s">
        <v>208</v>
      </c>
      <c r="B99" s="2" t="s">
        <v>224</v>
      </c>
      <c r="C99" s="2" t="s">
        <v>317</v>
      </c>
      <c r="D99" s="2" t="s">
        <v>318</v>
      </c>
      <c r="E99" s="2" t="s">
        <v>328</v>
      </c>
      <c r="F99" s="2" t="s">
        <v>329</v>
      </c>
      <c r="G99" s="2"/>
      <c r="H99" s="3"/>
      <c r="I99" s="3"/>
      <c r="J99" s="3"/>
      <c r="K99" s="3" t="n">
        <v>7.06</v>
      </c>
      <c r="L99" s="3"/>
      <c r="M99" s="3" t="n">
        <v>7.06</v>
      </c>
      <c r="N99" s="2" t="s">
        <v>322</v>
      </c>
      <c r="O99" s="2" t="s">
        <v>323</v>
      </c>
      <c r="P99" s="2" t="s">
        <v>324</v>
      </c>
      <c r="Q99" s="2" t="s">
        <v>330</v>
      </c>
    </row>
    <row r="100" customFormat="false" ht="15" hidden="false" customHeight="false" outlineLevel="0" collapsed="false">
      <c r="A100" s="2" t="s">
        <v>208</v>
      </c>
      <c r="B100" s="2" t="s">
        <v>224</v>
      </c>
      <c r="C100" s="2" t="s">
        <v>331</v>
      </c>
      <c r="D100" s="2" t="s">
        <v>318</v>
      </c>
      <c r="E100" s="2" t="s">
        <v>332</v>
      </c>
      <c r="F100" s="2" t="s">
        <v>333</v>
      </c>
      <c r="G100" s="2"/>
      <c r="H100" s="3"/>
      <c r="I100" s="3" t="n">
        <v>3199.54</v>
      </c>
      <c r="J100" s="3"/>
      <c r="K100" s="3" t="n">
        <v>381.36</v>
      </c>
      <c r="L100" s="3"/>
      <c r="M100" s="3" t="n">
        <v>381.36</v>
      </c>
      <c r="N100" s="2" t="s">
        <v>322</v>
      </c>
      <c r="O100" s="2" t="s">
        <v>323</v>
      </c>
      <c r="P100" s="2" t="s">
        <v>324</v>
      </c>
      <c r="Q100" s="2" t="s">
        <v>334</v>
      </c>
    </row>
    <row r="101" customFormat="false" ht="15" hidden="false" customHeight="false" outlineLevel="0" collapsed="false">
      <c r="A101" s="2" t="s">
        <v>208</v>
      </c>
      <c r="B101" s="2" t="s">
        <v>224</v>
      </c>
      <c r="C101" s="2" t="s">
        <v>331</v>
      </c>
      <c r="D101" s="2" t="s">
        <v>318</v>
      </c>
      <c r="E101" s="2" t="s">
        <v>335</v>
      </c>
      <c r="F101" s="2" t="s">
        <v>336</v>
      </c>
      <c r="G101" s="2"/>
      <c r="H101" s="3"/>
      <c r="I101" s="3" t="n">
        <v>3432.42</v>
      </c>
      <c r="J101" s="3"/>
      <c r="K101" s="3" t="n">
        <v>49.77</v>
      </c>
      <c r="L101" s="3"/>
      <c r="M101" s="3" t="n">
        <v>49.77</v>
      </c>
      <c r="N101" s="2" t="s">
        <v>322</v>
      </c>
      <c r="O101" s="2" t="s">
        <v>323</v>
      </c>
      <c r="P101" s="2" t="s">
        <v>337</v>
      </c>
      <c r="Q101" s="2" t="s">
        <v>334</v>
      </c>
    </row>
    <row r="102" customFormat="false" ht="15" hidden="false" customHeight="false" outlineLevel="0" collapsed="false">
      <c r="A102" s="2" t="s">
        <v>208</v>
      </c>
      <c r="B102" s="2" t="s">
        <v>224</v>
      </c>
      <c r="C102" s="2" t="s">
        <v>331</v>
      </c>
      <c r="D102" s="2" t="s">
        <v>318</v>
      </c>
      <c r="E102" s="2" t="s">
        <v>338</v>
      </c>
      <c r="F102" s="2" t="s">
        <v>339</v>
      </c>
      <c r="G102" s="2"/>
      <c r="H102" s="3"/>
      <c r="I102" s="3" t="n">
        <v>3432.42</v>
      </c>
      <c r="J102" s="3"/>
      <c r="K102" s="3" t="n">
        <v>212.81</v>
      </c>
      <c r="L102" s="3"/>
      <c r="M102" s="3" t="n">
        <v>212.81</v>
      </c>
      <c r="N102" s="2" t="s">
        <v>322</v>
      </c>
      <c r="O102" s="2" t="s">
        <v>323</v>
      </c>
      <c r="P102" s="2" t="s">
        <v>324</v>
      </c>
      <c r="Q102" s="2" t="s">
        <v>334</v>
      </c>
    </row>
    <row r="103" customFormat="false" ht="15" hidden="false" customHeight="false" outlineLevel="0" collapsed="false">
      <c r="A103" s="2" t="s">
        <v>208</v>
      </c>
      <c r="B103" s="2" t="s">
        <v>224</v>
      </c>
      <c r="C103" s="2" t="s">
        <v>331</v>
      </c>
      <c r="D103" s="2" t="s">
        <v>318</v>
      </c>
      <c r="E103" s="2" t="s">
        <v>340</v>
      </c>
      <c r="F103" s="2" t="s">
        <v>341</v>
      </c>
      <c r="G103" s="2"/>
      <c r="H103" s="3"/>
      <c r="I103" s="3" t="n">
        <v>3516.27</v>
      </c>
      <c r="J103" s="3"/>
      <c r="K103" s="3" t="n">
        <v>21.1</v>
      </c>
      <c r="L103" s="3"/>
      <c r="M103" s="3" t="n">
        <v>21.1</v>
      </c>
      <c r="N103" s="2" t="s">
        <v>322</v>
      </c>
      <c r="O103" s="2" t="s">
        <v>323</v>
      </c>
      <c r="P103" s="2" t="s">
        <v>337</v>
      </c>
      <c r="Q103" s="2" t="s">
        <v>334</v>
      </c>
    </row>
    <row r="104" customFormat="false" ht="15" hidden="false" customHeight="false" outlineLevel="0" collapsed="false">
      <c r="A104" s="2" t="s">
        <v>208</v>
      </c>
      <c r="B104" s="2" t="s">
        <v>224</v>
      </c>
      <c r="C104" s="2" t="s">
        <v>331</v>
      </c>
      <c r="D104" s="2" t="s">
        <v>318</v>
      </c>
      <c r="E104" s="2" t="s">
        <v>342</v>
      </c>
      <c r="F104" s="2" t="s">
        <v>343</v>
      </c>
      <c r="G104" s="2"/>
      <c r="H104" s="3"/>
      <c r="I104" s="3" t="n">
        <v>3199.54</v>
      </c>
      <c r="J104" s="3"/>
      <c r="K104" s="3" t="n">
        <v>248.69</v>
      </c>
      <c r="L104" s="3"/>
      <c r="M104" s="3" t="n">
        <v>248.69</v>
      </c>
      <c r="N104" s="2" t="s">
        <v>322</v>
      </c>
      <c r="O104" s="2" t="s">
        <v>323</v>
      </c>
      <c r="P104" s="2" t="s">
        <v>324</v>
      </c>
      <c r="Q104" s="2" t="s">
        <v>334</v>
      </c>
    </row>
    <row r="105" customFormat="false" ht="15" hidden="false" customHeight="false" outlineLevel="0" collapsed="false">
      <c r="A105" s="2" t="s">
        <v>208</v>
      </c>
      <c r="B105" s="2" t="s">
        <v>224</v>
      </c>
      <c r="C105" s="2" t="s">
        <v>331</v>
      </c>
      <c r="D105" s="2" t="s">
        <v>318</v>
      </c>
      <c r="E105" s="2" t="s">
        <v>344</v>
      </c>
      <c r="F105" s="2" t="s">
        <v>345</v>
      </c>
      <c r="G105" s="2"/>
      <c r="H105" s="3"/>
      <c r="I105" s="3" t="n">
        <v>3516.27</v>
      </c>
      <c r="J105" s="3"/>
      <c r="K105" s="3" t="n">
        <v>3.52</v>
      </c>
      <c r="L105" s="3"/>
      <c r="M105" s="3" t="n">
        <v>3.52</v>
      </c>
      <c r="N105" s="2" t="s">
        <v>322</v>
      </c>
      <c r="O105" s="2" t="s">
        <v>323</v>
      </c>
      <c r="P105" s="2" t="s">
        <v>324</v>
      </c>
      <c r="Q105" s="2" t="s">
        <v>334</v>
      </c>
    </row>
    <row r="106" customFormat="false" ht="15" hidden="false" customHeight="false" outlineLevel="0" collapsed="false">
      <c r="A106" s="2" t="s">
        <v>208</v>
      </c>
      <c r="B106" s="2" t="s">
        <v>224</v>
      </c>
      <c r="C106" s="2" t="s">
        <v>331</v>
      </c>
      <c r="D106" s="2" t="s">
        <v>318</v>
      </c>
      <c r="E106" s="2" t="s">
        <v>346</v>
      </c>
      <c r="F106" s="2" t="s">
        <v>347</v>
      </c>
      <c r="G106" s="2"/>
      <c r="H106" s="3"/>
      <c r="I106" s="3"/>
      <c r="J106" s="3"/>
      <c r="K106" s="3" t="n">
        <v>232.88</v>
      </c>
      <c r="L106" s="3"/>
      <c r="M106" s="3" t="n">
        <v>232.88</v>
      </c>
      <c r="N106" s="2" t="s">
        <v>322</v>
      </c>
      <c r="O106" s="2" t="s">
        <v>348</v>
      </c>
      <c r="P106" s="2" t="s">
        <v>349</v>
      </c>
      <c r="Q106" s="2" t="s">
        <v>350</v>
      </c>
    </row>
    <row r="107" customFormat="false" ht="15" hidden="false" customHeight="false" outlineLevel="0" collapsed="false">
      <c r="A107" s="2" t="s">
        <v>208</v>
      </c>
      <c r="B107" s="2" t="s">
        <v>224</v>
      </c>
      <c r="C107" s="2" t="s">
        <v>331</v>
      </c>
      <c r="D107" s="2" t="s">
        <v>318</v>
      </c>
      <c r="E107" s="2" t="s">
        <v>351</v>
      </c>
      <c r="F107" s="2" t="s">
        <v>352</v>
      </c>
      <c r="G107" s="2"/>
      <c r="H107" s="3"/>
      <c r="I107" s="3"/>
      <c r="J107" s="3"/>
      <c r="K107" s="3" t="n">
        <v>4.7</v>
      </c>
      <c r="L107" s="3"/>
      <c r="M107" s="3" t="n">
        <v>4.7</v>
      </c>
      <c r="N107" s="2" t="s">
        <v>322</v>
      </c>
      <c r="O107" s="2" t="s">
        <v>348</v>
      </c>
      <c r="P107" s="2" t="s">
        <v>337</v>
      </c>
      <c r="Q107" s="2" t="s">
        <v>350</v>
      </c>
    </row>
    <row r="108" customFormat="false" ht="15" hidden="false" customHeight="false" outlineLevel="0" collapsed="false">
      <c r="A108" s="2" t="s">
        <v>208</v>
      </c>
      <c r="B108" s="2" t="s">
        <v>224</v>
      </c>
      <c r="C108" s="2" t="s">
        <v>331</v>
      </c>
      <c r="D108" s="2" t="s">
        <v>318</v>
      </c>
      <c r="E108" s="2" t="s">
        <v>353</v>
      </c>
      <c r="F108" s="2" t="s">
        <v>354</v>
      </c>
      <c r="G108" s="2"/>
      <c r="H108" s="3"/>
      <c r="I108" s="3"/>
      <c r="J108" s="3"/>
      <c r="K108" s="3" t="n">
        <v>11.05</v>
      </c>
      <c r="L108" s="3"/>
      <c r="M108" s="3" t="n">
        <v>11.05</v>
      </c>
      <c r="N108" s="2" t="s">
        <v>322</v>
      </c>
      <c r="O108" s="2" t="s">
        <v>348</v>
      </c>
      <c r="P108" s="2" t="s">
        <v>337</v>
      </c>
      <c r="Q108" s="2" t="s">
        <v>350</v>
      </c>
    </row>
    <row r="109" customFormat="false" ht="15" hidden="false" customHeight="false" outlineLevel="0" collapsed="false">
      <c r="A109" s="2" t="s">
        <v>208</v>
      </c>
      <c r="B109" s="2" t="s">
        <v>224</v>
      </c>
      <c r="C109" s="2" t="s">
        <v>331</v>
      </c>
      <c r="D109" s="2" t="s">
        <v>318</v>
      </c>
      <c r="E109" s="2" t="s">
        <v>355</v>
      </c>
      <c r="F109" s="2" t="s">
        <v>356</v>
      </c>
      <c r="G109" s="2"/>
      <c r="H109" s="3"/>
      <c r="I109" s="3"/>
      <c r="J109" s="3"/>
      <c r="K109" s="3" t="n">
        <v>68.1</v>
      </c>
      <c r="L109" s="3"/>
      <c r="M109" s="3" t="n">
        <v>68.1</v>
      </c>
      <c r="N109" s="2" t="s">
        <v>322</v>
      </c>
      <c r="O109" s="2" t="s">
        <v>348</v>
      </c>
      <c r="P109" s="2" t="s">
        <v>337</v>
      </c>
      <c r="Q109" s="2" t="s">
        <v>350</v>
      </c>
    </row>
    <row r="110" customFormat="false" ht="15" hidden="false" customHeight="false" outlineLevel="0" collapsed="false">
      <c r="A110" s="2" t="s">
        <v>208</v>
      </c>
      <c r="B110" s="2" t="s">
        <v>224</v>
      </c>
      <c r="C110" s="2" t="s">
        <v>331</v>
      </c>
      <c r="D110" s="2" t="s">
        <v>318</v>
      </c>
      <c r="E110" s="2" t="s">
        <v>368</v>
      </c>
      <c r="F110" s="2" t="s">
        <v>369</v>
      </c>
      <c r="G110" s="2"/>
      <c r="H110" s="3"/>
      <c r="I110" s="3"/>
      <c r="J110" s="3"/>
      <c r="K110" s="3" t="n">
        <v>3.76</v>
      </c>
      <c r="L110" s="3"/>
      <c r="M110" s="3" t="n">
        <v>3.76</v>
      </c>
      <c r="N110" s="2" t="s">
        <v>322</v>
      </c>
      <c r="O110" s="2" t="s">
        <v>323</v>
      </c>
      <c r="P110" s="2" t="s">
        <v>337</v>
      </c>
      <c r="Q110" s="2" t="s">
        <v>370</v>
      </c>
    </row>
    <row r="111" customFormat="false" ht="15" hidden="false" customHeight="false" outlineLevel="0" collapsed="false">
      <c r="A111" s="2" t="s">
        <v>208</v>
      </c>
      <c r="B111" s="2" t="s">
        <v>224</v>
      </c>
      <c r="C111" s="2" t="s">
        <v>331</v>
      </c>
      <c r="D111" s="2" t="s">
        <v>318</v>
      </c>
      <c r="E111" s="2" t="s">
        <v>371</v>
      </c>
      <c r="F111" s="2" t="s">
        <v>372</v>
      </c>
      <c r="G111" s="2"/>
      <c r="H111" s="3"/>
      <c r="I111" s="3"/>
      <c r="J111" s="3"/>
      <c r="K111" s="3" t="n">
        <v>11.05</v>
      </c>
      <c r="L111" s="3"/>
      <c r="M111" s="3" t="n">
        <v>11.05</v>
      </c>
      <c r="N111" s="2" t="s">
        <v>322</v>
      </c>
      <c r="O111" s="2" t="s">
        <v>323</v>
      </c>
      <c r="P111" s="2" t="s">
        <v>337</v>
      </c>
      <c r="Q111" s="2" t="s">
        <v>370</v>
      </c>
    </row>
    <row r="112" customFormat="false" ht="15" hidden="false" customHeight="false" outlineLevel="0" collapsed="false">
      <c r="A112" s="2" t="s">
        <v>208</v>
      </c>
      <c r="B112" s="2" t="s">
        <v>224</v>
      </c>
      <c r="C112" s="2" t="s">
        <v>331</v>
      </c>
      <c r="D112" s="2" t="s">
        <v>318</v>
      </c>
      <c r="E112" s="2" t="s">
        <v>373</v>
      </c>
      <c r="F112" s="2" t="s">
        <v>374</v>
      </c>
      <c r="G112" s="2"/>
      <c r="H112" s="3"/>
      <c r="I112" s="3"/>
      <c r="J112" s="3"/>
      <c r="K112" s="3" t="n">
        <v>91.94</v>
      </c>
      <c r="L112" s="3"/>
      <c r="M112" s="3" t="n">
        <v>91.94</v>
      </c>
      <c r="N112" s="2" t="s">
        <v>322</v>
      </c>
      <c r="O112" s="2" t="s">
        <v>323</v>
      </c>
      <c r="P112" s="2" t="s">
        <v>337</v>
      </c>
      <c r="Q112" s="2" t="s">
        <v>370</v>
      </c>
    </row>
    <row r="113" customFormat="false" ht="15" hidden="false" customHeight="false" outlineLevel="0" collapsed="false">
      <c r="A113" s="2" t="s">
        <v>208</v>
      </c>
      <c r="B113" s="2" t="s">
        <v>224</v>
      </c>
      <c r="C113" s="2" t="s">
        <v>357</v>
      </c>
      <c r="D113" s="2" t="s">
        <v>318</v>
      </c>
      <c r="E113" s="2" t="s">
        <v>358</v>
      </c>
      <c r="F113" s="2" t="s">
        <v>359</v>
      </c>
      <c r="G113" s="2"/>
      <c r="H113" s="3"/>
      <c r="I113" s="3"/>
      <c r="J113" s="3"/>
      <c r="K113" s="3"/>
      <c r="L113" s="3" t="n">
        <v>99.81</v>
      </c>
      <c r="M113" s="3" t="n">
        <v>99.81</v>
      </c>
      <c r="N113" s="2" t="s">
        <v>360</v>
      </c>
      <c r="O113" s="2" t="s">
        <v>348</v>
      </c>
      <c r="P113" s="2" t="s">
        <v>349</v>
      </c>
      <c r="Q113" s="2" t="s">
        <v>361</v>
      </c>
    </row>
    <row r="114" customFormat="false" ht="15" hidden="false" customHeight="false" outlineLevel="0" collapsed="false">
      <c r="A114" s="2" t="s">
        <v>208</v>
      </c>
      <c r="B114" s="2" t="s">
        <v>224</v>
      </c>
      <c r="C114" s="2" t="s">
        <v>357</v>
      </c>
      <c r="D114" s="2" t="s">
        <v>318</v>
      </c>
      <c r="E114" s="2" t="s">
        <v>362</v>
      </c>
      <c r="F114" s="2" t="s">
        <v>363</v>
      </c>
      <c r="G114" s="2"/>
      <c r="H114" s="3"/>
      <c r="I114" s="3"/>
      <c r="J114" s="3"/>
      <c r="K114" s="3"/>
      <c r="L114" s="3" t="n">
        <v>324.92</v>
      </c>
      <c r="M114" s="3" t="n">
        <v>324.92</v>
      </c>
      <c r="N114" s="2" t="s">
        <v>360</v>
      </c>
      <c r="O114" s="2" t="s">
        <v>348</v>
      </c>
      <c r="P114" s="2" t="s">
        <v>337</v>
      </c>
      <c r="Q114" s="2" t="s">
        <v>361</v>
      </c>
    </row>
    <row r="115" customFormat="false" ht="15" hidden="false" customHeight="false" outlineLevel="0" collapsed="false">
      <c r="A115" s="2" t="s">
        <v>233</v>
      </c>
      <c r="B115" s="2" t="s">
        <v>247</v>
      </c>
      <c r="C115" s="2" t="s">
        <v>317</v>
      </c>
      <c r="D115" s="2" t="s">
        <v>318</v>
      </c>
      <c r="E115" s="2" t="s">
        <v>319</v>
      </c>
      <c r="F115" s="2" t="s">
        <v>320</v>
      </c>
      <c r="G115" s="2" t="s">
        <v>321</v>
      </c>
      <c r="H115" s="3" t="n">
        <v>64</v>
      </c>
      <c r="I115" s="3"/>
      <c r="J115" s="3" t="n">
        <v>43.75</v>
      </c>
      <c r="K115" s="3" t="n">
        <v>2800</v>
      </c>
      <c r="L115" s="3"/>
      <c r="M115" s="3" t="n">
        <v>2800</v>
      </c>
      <c r="N115" s="2" t="s">
        <v>322</v>
      </c>
      <c r="O115" s="2" t="s">
        <v>323</v>
      </c>
      <c r="P115" s="2" t="s">
        <v>324</v>
      </c>
      <c r="Q115" s="2" t="s">
        <v>317</v>
      </c>
    </row>
    <row r="116" customFormat="false" ht="15" hidden="false" customHeight="false" outlineLevel="0" collapsed="false">
      <c r="A116" s="2" t="s">
        <v>233</v>
      </c>
      <c r="B116" s="2" t="s">
        <v>247</v>
      </c>
      <c r="C116" s="2" t="s">
        <v>317</v>
      </c>
      <c r="D116" s="2" t="s">
        <v>318</v>
      </c>
      <c r="E116" s="2" t="s">
        <v>364</v>
      </c>
      <c r="F116" s="2" t="s">
        <v>365</v>
      </c>
      <c r="G116" s="2" t="s">
        <v>321</v>
      </c>
      <c r="H116" s="3" t="n">
        <v>8</v>
      </c>
      <c r="I116" s="3"/>
      <c r="J116" s="3" t="n">
        <v>43.75</v>
      </c>
      <c r="K116" s="3" t="n">
        <v>350</v>
      </c>
      <c r="L116" s="3"/>
      <c r="M116" s="3" t="n">
        <v>350</v>
      </c>
      <c r="N116" s="2" t="s">
        <v>322</v>
      </c>
      <c r="O116" s="2" t="s">
        <v>323</v>
      </c>
      <c r="P116" s="2" t="s">
        <v>327</v>
      </c>
      <c r="Q116" s="2" t="s">
        <v>317</v>
      </c>
    </row>
    <row r="117" customFormat="false" ht="15" hidden="false" customHeight="false" outlineLevel="0" collapsed="false">
      <c r="A117" s="2" t="s">
        <v>233</v>
      </c>
      <c r="B117" s="2" t="s">
        <v>247</v>
      </c>
      <c r="C117" s="2" t="s">
        <v>317</v>
      </c>
      <c r="D117" s="2" t="s">
        <v>318</v>
      </c>
      <c r="E117" s="2" t="s">
        <v>325</v>
      </c>
      <c r="F117" s="2" t="s">
        <v>326</v>
      </c>
      <c r="G117" s="2" t="s">
        <v>321</v>
      </c>
      <c r="H117" s="3" t="n">
        <v>8</v>
      </c>
      <c r="I117" s="3"/>
      <c r="J117" s="3" t="n">
        <v>43.75</v>
      </c>
      <c r="K117" s="3" t="n">
        <v>350</v>
      </c>
      <c r="L117" s="3"/>
      <c r="M117" s="3" t="n">
        <v>350</v>
      </c>
      <c r="N117" s="2" t="s">
        <v>322</v>
      </c>
      <c r="O117" s="2" t="s">
        <v>323</v>
      </c>
      <c r="P117" s="2" t="s">
        <v>327</v>
      </c>
      <c r="Q117" s="2" t="s">
        <v>317</v>
      </c>
    </row>
    <row r="118" customFormat="false" ht="15" hidden="false" customHeight="false" outlineLevel="0" collapsed="false">
      <c r="A118" s="2" t="s">
        <v>233</v>
      </c>
      <c r="B118" s="2" t="s">
        <v>247</v>
      </c>
      <c r="C118" s="2" t="s">
        <v>317</v>
      </c>
      <c r="D118" s="2" t="s">
        <v>318</v>
      </c>
      <c r="E118" s="2" t="s">
        <v>328</v>
      </c>
      <c r="F118" s="2" t="s">
        <v>329</v>
      </c>
      <c r="G118" s="2"/>
      <c r="H118" s="3"/>
      <c r="I118" s="3"/>
      <c r="J118" s="3"/>
      <c r="K118" s="3" t="n">
        <v>6.57</v>
      </c>
      <c r="L118" s="3"/>
      <c r="M118" s="3" t="n">
        <v>6.57</v>
      </c>
      <c r="N118" s="2" t="s">
        <v>322</v>
      </c>
      <c r="O118" s="2" t="s">
        <v>323</v>
      </c>
      <c r="P118" s="2" t="s">
        <v>324</v>
      </c>
      <c r="Q118" s="2" t="s">
        <v>330</v>
      </c>
    </row>
    <row r="119" customFormat="false" ht="15" hidden="false" customHeight="false" outlineLevel="0" collapsed="false">
      <c r="A119" s="2" t="s">
        <v>233</v>
      </c>
      <c r="B119" s="2" t="s">
        <v>247</v>
      </c>
      <c r="C119" s="2" t="s">
        <v>331</v>
      </c>
      <c r="D119" s="2" t="s">
        <v>318</v>
      </c>
      <c r="E119" s="2" t="s">
        <v>332</v>
      </c>
      <c r="F119" s="2" t="s">
        <v>333</v>
      </c>
      <c r="G119" s="2"/>
      <c r="H119" s="3"/>
      <c r="I119" s="3" t="n">
        <v>3112.82</v>
      </c>
      <c r="J119" s="3"/>
      <c r="K119" s="3" t="n">
        <v>216.73</v>
      </c>
      <c r="L119" s="3"/>
      <c r="M119" s="3" t="n">
        <v>216.73</v>
      </c>
      <c r="N119" s="2" t="s">
        <v>322</v>
      </c>
      <c r="O119" s="2" t="s">
        <v>323</v>
      </c>
      <c r="P119" s="2" t="s">
        <v>324</v>
      </c>
      <c r="Q119" s="2" t="s">
        <v>334</v>
      </c>
    </row>
    <row r="120" customFormat="false" ht="15" hidden="false" customHeight="false" outlineLevel="0" collapsed="false">
      <c r="A120" s="2" t="s">
        <v>233</v>
      </c>
      <c r="B120" s="2" t="s">
        <v>247</v>
      </c>
      <c r="C120" s="2" t="s">
        <v>331</v>
      </c>
      <c r="D120" s="2" t="s">
        <v>318</v>
      </c>
      <c r="E120" s="2" t="s">
        <v>335</v>
      </c>
      <c r="F120" s="2" t="s">
        <v>336</v>
      </c>
      <c r="G120" s="2"/>
      <c r="H120" s="3"/>
      <c r="I120" s="3" t="n">
        <v>3252.82</v>
      </c>
      <c r="J120" s="3"/>
      <c r="K120" s="3" t="n">
        <v>47.17</v>
      </c>
      <c r="L120" s="3"/>
      <c r="M120" s="3" t="n">
        <v>47.17</v>
      </c>
      <c r="N120" s="2" t="s">
        <v>322</v>
      </c>
      <c r="O120" s="2" t="s">
        <v>323</v>
      </c>
      <c r="P120" s="2" t="s">
        <v>337</v>
      </c>
      <c r="Q120" s="2" t="s">
        <v>334</v>
      </c>
    </row>
    <row r="121" customFormat="false" ht="15" hidden="false" customHeight="false" outlineLevel="0" collapsed="false">
      <c r="A121" s="2" t="s">
        <v>233</v>
      </c>
      <c r="B121" s="2" t="s">
        <v>247</v>
      </c>
      <c r="C121" s="2" t="s">
        <v>331</v>
      </c>
      <c r="D121" s="2" t="s">
        <v>318</v>
      </c>
      <c r="E121" s="2" t="s">
        <v>338</v>
      </c>
      <c r="F121" s="2" t="s">
        <v>339</v>
      </c>
      <c r="G121" s="2"/>
      <c r="H121" s="3"/>
      <c r="I121" s="3" t="n">
        <v>3252.82</v>
      </c>
      <c r="J121" s="3"/>
      <c r="K121" s="3" t="n">
        <v>201.67</v>
      </c>
      <c r="L121" s="3"/>
      <c r="M121" s="3" t="n">
        <v>201.67</v>
      </c>
      <c r="N121" s="2" t="s">
        <v>322</v>
      </c>
      <c r="O121" s="2" t="s">
        <v>323</v>
      </c>
      <c r="P121" s="2" t="s">
        <v>324</v>
      </c>
      <c r="Q121" s="2" t="s">
        <v>334</v>
      </c>
    </row>
    <row r="122" customFormat="false" ht="15" hidden="false" customHeight="false" outlineLevel="0" collapsed="false">
      <c r="A122" s="2" t="s">
        <v>233</v>
      </c>
      <c r="B122" s="2" t="s">
        <v>247</v>
      </c>
      <c r="C122" s="2" t="s">
        <v>331</v>
      </c>
      <c r="D122" s="2" t="s">
        <v>318</v>
      </c>
      <c r="E122" s="2" t="s">
        <v>340</v>
      </c>
      <c r="F122" s="2" t="s">
        <v>341</v>
      </c>
      <c r="G122" s="2"/>
      <c r="H122" s="3"/>
      <c r="I122" s="3" t="n">
        <v>3506.57</v>
      </c>
      <c r="J122" s="3"/>
      <c r="K122" s="3" t="n">
        <v>21.04</v>
      </c>
      <c r="L122" s="3"/>
      <c r="M122" s="3" t="n">
        <v>21.04</v>
      </c>
      <c r="N122" s="2" t="s">
        <v>322</v>
      </c>
      <c r="O122" s="2" t="s">
        <v>323</v>
      </c>
      <c r="P122" s="2" t="s">
        <v>337</v>
      </c>
      <c r="Q122" s="2" t="s">
        <v>334</v>
      </c>
    </row>
    <row r="123" customFormat="false" ht="15" hidden="false" customHeight="false" outlineLevel="0" collapsed="false">
      <c r="A123" s="2" t="s">
        <v>233</v>
      </c>
      <c r="B123" s="2" t="s">
        <v>247</v>
      </c>
      <c r="C123" s="2" t="s">
        <v>331</v>
      </c>
      <c r="D123" s="2" t="s">
        <v>318</v>
      </c>
      <c r="E123" s="2" t="s">
        <v>342</v>
      </c>
      <c r="F123" s="2" t="s">
        <v>343</v>
      </c>
      <c r="G123" s="2"/>
      <c r="H123" s="3"/>
      <c r="I123" s="3" t="n">
        <v>3112.82</v>
      </c>
      <c r="J123" s="3"/>
      <c r="K123" s="3" t="n">
        <v>209.83</v>
      </c>
      <c r="L123" s="3"/>
      <c r="M123" s="3" t="n">
        <v>209.83</v>
      </c>
      <c r="N123" s="2" t="s">
        <v>322</v>
      </c>
      <c r="O123" s="2" t="s">
        <v>323</v>
      </c>
      <c r="P123" s="2" t="s">
        <v>324</v>
      </c>
      <c r="Q123" s="2" t="s">
        <v>334</v>
      </c>
    </row>
    <row r="124" customFormat="false" ht="15" hidden="false" customHeight="false" outlineLevel="0" collapsed="false">
      <c r="A124" s="2" t="s">
        <v>233</v>
      </c>
      <c r="B124" s="2" t="s">
        <v>247</v>
      </c>
      <c r="C124" s="2" t="s">
        <v>331</v>
      </c>
      <c r="D124" s="2" t="s">
        <v>318</v>
      </c>
      <c r="E124" s="2" t="s">
        <v>344</v>
      </c>
      <c r="F124" s="2" t="s">
        <v>345</v>
      </c>
      <c r="G124" s="2"/>
      <c r="H124" s="3"/>
      <c r="I124" s="3" t="n">
        <v>3506.57</v>
      </c>
      <c r="J124" s="3"/>
      <c r="K124" s="3" t="n">
        <v>3.51</v>
      </c>
      <c r="L124" s="3"/>
      <c r="M124" s="3" t="n">
        <v>3.51</v>
      </c>
      <c r="N124" s="2" t="s">
        <v>322</v>
      </c>
      <c r="O124" s="2" t="s">
        <v>323</v>
      </c>
      <c r="P124" s="2" t="s">
        <v>324</v>
      </c>
      <c r="Q124" s="2" t="s">
        <v>334</v>
      </c>
    </row>
    <row r="125" customFormat="false" ht="15" hidden="false" customHeight="false" outlineLevel="0" collapsed="false">
      <c r="A125" s="2" t="s">
        <v>233</v>
      </c>
      <c r="B125" s="2" t="s">
        <v>247</v>
      </c>
      <c r="C125" s="2" t="s">
        <v>331</v>
      </c>
      <c r="D125" s="2" t="s">
        <v>318</v>
      </c>
      <c r="E125" s="2" t="s">
        <v>346</v>
      </c>
      <c r="F125" s="2" t="s">
        <v>347</v>
      </c>
      <c r="G125" s="2"/>
      <c r="H125" s="3"/>
      <c r="I125" s="3"/>
      <c r="J125" s="3"/>
      <c r="K125" s="3" t="n">
        <v>140</v>
      </c>
      <c r="L125" s="3"/>
      <c r="M125" s="3" t="n">
        <v>140</v>
      </c>
      <c r="N125" s="2" t="s">
        <v>322</v>
      </c>
      <c r="O125" s="2" t="s">
        <v>348</v>
      </c>
      <c r="P125" s="2" t="s">
        <v>349</v>
      </c>
      <c r="Q125" s="2" t="s">
        <v>350</v>
      </c>
    </row>
    <row r="126" customFormat="false" ht="15" hidden="false" customHeight="false" outlineLevel="0" collapsed="false">
      <c r="A126" s="2" t="s">
        <v>233</v>
      </c>
      <c r="B126" s="2" t="s">
        <v>247</v>
      </c>
      <c r="C126" s="2" t="s">
        <v>331</v>
      </c>
      <c r="D126" s="2" t="s">
        <v>318</v>
      </c>
      <c r="E126" s="2" t="s">
        <v>351</v>
      </c>
      <c r="F126" s="2" t="s">
        <v>352</v>
      </c>
      <c r="G126" s="2"/>
      <c r="H126" s="3"/>
      <c r="I126" s="3"/>
      <c r="J126" s="3"/>
      <c r="K126" s="3" t="n">
        <v>13.05</v>
      </c>
      <c r="L126" s="3"/>
      <c r="M126" s="3" t="n">
        <v>13.05</v>
      </c>
      <c r="N126" s="2" t="s">
        <v>322</v>
      </c>
      <c r="O126" s="2" t="s">
        <v>348</v>
      </c>
      <c r="P126" s="2" t="s">
        <v>337</v>
      </c>
      <c r="Q126" s="2" t="s">
        <v>350</v>
      </c>
    </row>
    <row r="127" customFormat="false" ht="15" hidden="false" customHeight="false" outlineLevel="0" collapsed="false">
      <c r="A127" s="2" t="s">
        <v>233</v>
      </c>
      <c r="B127" s="2" t="s">
        <v>247</v>
      </c>
      <c r="C127" s="2" t="s">
        <v>331</v>
      </c>
      <c r="D127" s="2" t="s">
        <v>318</v>
      </c>
      <c r="E127" s="2" t="s">
        <v>353</v>
      </c>
      <c r="F127" s="2" t="s">
        <v>354</v>
      </c>
      <c r="G127" s="2"/>
      <c r="H127" s="3"/>
      <c r="I127" s="3"/>
      <c r="J127" s="3"/>
      <c r="K127" s="3" t="n">
        <v>33.1</v>
      </c>
      <c r="L127" s="3"/>
      <c r="M127" s="3" t="n">
        <v>33.1</v>
      </c>
      <c r="N127" s="2" t="s">
        <v>322</v>
      </c>
      <c r="O127" s="2" t="s">
        <v>348</v>
      </c>
      <c r="P127" s="2" t="s">
        <v>337</v>
      </c>
      <c r="Q127" s="2" t="s">
        <v>350</v>
      </c>
    </row>
    <row r="128" customFormat="false" ht="15" hidden="false" customHeight="false" outlineLevel="0" collapsed="false">
      <c r="A128" s="2" t="s">
        <v>233</v>
      </c>
      <c r="B128" s="2" t="s">
        <v>247</v>
      </c>
      <c r="C128" s="2" t="s">
        <v>331</v>
      </c>
      <c r="D128" s="2" t="s">
        <v>318</v>
      </c>
      <c r="E128" s="2" t="s">
        <v>355</v>
      </c>
      <c r="F128" s="2" t="s">
        <v>356</v>
      </c>
      <c r="G128" s="2"/>
      <c r="H128" s="3"/>
      <c r="I128" s="3"/>
      <c r="J128" s="3"/>
      <c r="K128" s="3" t="n">
        <v>207.6</v>
      </c>
      <c r="L128" s="3"/>
      <c r="M128" s="3" t="n">
        <v>207.6</v>
      </c>
      <c r="N128" s="2" t="s">
        <v>322</v>
      </c>
      <c r="O128" s="2" t="s">
        <v>348</v>
      </c>
      <c r="P128" s="2" t="s">
        <v>337</v>
      </c>
      <c r="Q128" s="2" t="s">
        <v>350</v>
      </c>
    </row>
    <row r="129" customFormat="false" ht="15" hidden="false" customHeight="false" outlineLevel="0" collapsed="false">
      <c r="A129" s="2" t="s">
        <v>233</v>
      </c>
      <c r="B129" s="2" t="s">
        <v>247</v>
      </c>
      <c r="C129" s="2" t="s">
        <v>357</v>
      </c>
      <c r="D129" s="2" t="s">
        <v>318</v>
      </c>
      <c r="E129" s="2" t="s">
        <v>358</v>
      </c>
      <c r="F129" s="2" t="s">
        <v>359</v>
      </c>
      <c r="G129" s="2"/>
      <c r="H129" s="3"/>
      <c r="I129" s="3"/>
      <c r="J129" s="3"/>
      <c r="K129" s="3"/>
      <c r="L129" s="3" t="n">
        <v>105</v>
      </c>
      <c r="M129" s="3" t="n">
        <v>105</v>
      </c>
      <c r="N129" s="2" t="s">
        <v>360</v>
      </c>
      <c r="O129" s="2" t="s">
        <v>348</v>
      </c>
      <c r="P129" s="2" t="s">
        <v>349</v>
      </c>
      <c r="Q129" s="2" t="s">
        <v>361</v>
      </c>
    </row>
    <row r="130" customFormat="false" ht="15" hidden="false" customHeight="false" outlineLevel="0" collapsed="false">
      <c r="A130" s="2" t="s">
        <v>233</v>
      </c>
      <c r="B130" s="2" t="s">
        <v>247</v>
      </c>
      <c r="C130" s="2" t="s">
        <v>357</v>
      </c>
      <c r="D130" s="2" t="s">
        <v>318</v>
      </c>
      <c r="E130" s="2" t="s">
        <v>362</v>
      </c>
      <c r="F130" s="2" t="s">
        <v>363</v>
      </c>
      <c r="G130" s="2"/>
      <c r="H130" s="3"/>
      <c r="I130" s="3"/>
      <c r="J130" s="3"/>
      <c r="K130" s="3"/>
      <c r="L130" s="3" t="n">
        <v>1254.17</v>
      </c>
      <c r="M130" s="3" t="n">
        <v>1254.17</v>
      </c>
      <c r="N130" s="2" t="s">
        <v>360</v>
      </c>
      <c r="O130" s="2" t="s">
        <v>348</v>
      </c>
      <c r="P130" s="2" t="s">
        <v>337</v>
      </c>
      <c r="Q130" s="2" t="s">
        <v>361</v>
      </c>
    </row>
    <row r="131" customFormat="false" ht="15" hidden="false" customHeight="false" outlineLevel="0" collapsed="false">
      <c r="A131" s="2" t="s">
        <v>257</v>
      </c>
      <c r="B131" s="2" t="s">
        <v>272</v>
      </c>
      <c r="C131" s="2" t="s">
        <v>317</v>
      </c>
      <c r="D131" s="2" t="s">
        <v>318</v>
      </c>
      <c r="E131" s="2" t="s">
        <v>319</v>
      </c>
      <c r="F131" s="2" t="s">
        <v>320</v>
      </c>
      <c r="G131" s="2" t="s">
        <v>321</v>
      </c>
      <c r="H131" s="3" t="n">
        <v>64</v>
      </c>
      <c r="I131" s="3"/>
      <c r="J131" s="3" t="n">
        <v>39.18</v>
      </c>
      <c r="K131" s="3" t="n">
        <v>2507.74</v>
      </c>
      <c r="L131" s="3"/>
      <c r="M131" s="3" t="n">
        <v>2507.74</v>
      </c>
      <c r="N131" s="2" t="s">
        <v>322</v>
      </c>
      <c r="O131" s="2" t="s">
        <v>323</v>
      </c>
      <c r="P131" s="2" t="s">
        <v>324</v>
      </c>
      <c r="Q131" s="2" t="s">
        <v>317</v>
      </c>
    </row>
    <row r="132" customFormat="false" ht="15" hidden="false" customHeight="false" outlineLevel="0" collapsed="false">
      <c r="A132" s="2" t="s">
        <v>257</v>
      </c>
      <c r="B132" s="2" t="s">
        <v>272</v>
      </c>
      <c r="C132" s="2" t="s">
        <v>317</v>
      </c>
      <c r="D132" s="2" t="s">
        <v>318</v>
      </c>
      <c r="E132" s="2" t="s">
        <v>325</v>
      </c>
      <c r="F132" s="2" t="s">
        <v>326</v>
      </c>
      <c r="G132" s="2" t="s">
        <v>321</v>
      </c>
      <c r="H132" s="3" t="n">
        <v>16</v>
      </c>
      <c r="I132" s="3"/>
      <c r="J132" s="3" t="n">
        <v>39.18</v>
      </c>
      <c r="K132" s="3" t="n">
        <v>626.88</v>
      </c>
      <c r="L132" s="3"/>
      <c r="M132" s="3" t="n">
        <v>626.88</v>
      </c>
      <c r="N132" s="2" t="s">
        <v>322</v>
      </c>
      <c r="O132" s="2" t="s">
        <v>323</v>
      </c>
      <c r="P132" s="2" t="s">
        <v>327</v>
      </c>
      <c r="Q132" s="2" t="s">
        <v>317</v>
      </c>
    </row>
    <row r="133" customFormat="false" ht="15" hidden="false" customHeight="false" outlineLevel="0" collapsed="false">
      <c r="A133" s="2" t="s">
        <v>257</v>
      </c>
      <c r="B133" s="2" t="s">
        <v>272</v>
      </c>
      <c r="C133" s="2" t="s">
        <v>317</v>
      </c>
      <c r="D133" s="2" t="s">
        <v>318</v>
      </c>
      <c r="E133" s="2" t="s">
        <v>328</v>
      </c>
      <c r="F133" s="2" t="s">
        <v>329</v>
      </c>
      <c r="G133" s="2"/>
      <c r="H133" s="3"/>
      <c r="I133" s="3"/>
      <c r="J133" s="3"/>
      <c r="K133" s="3" t="n">
        <v>8.76</v>
      </c>
      <c r="L133" s="3"/>
      <c r="M133" s="3" t="n">
        <v>8.76</v>
      </c>
      <c r="N133" s="2" t="s">
        <v>322</v>
      </c>
      <c r="O133" s="2" t="s">
        <v>323</v>
      </c>
      <c r="P133" s="2" t="s">
        <v>324</v>
      </c>
      <c r="Q133" s="2" t="s">
        <v>330</v>
      </c>
    </row>
    <row r="134" customFormat="false" ht="15" hidden="false" customHeight="false" outlineLevel="0" collapsed="false">
      <c r="A134" s="2" t="s">
        <v>257</v>
      </c>
      <c r="B134" s="2" t="s">
        <v>272</v>
      </c>
      <c r="C134" s="2" t="s">
        <v>331</v>
      </c>
      <c r="D134" s="2" t="s">
        <v>318</v>
      </c>
      <c r="E134" s="2" t="s">
        <v>332</v>
      </c>
      <c r="F134" s="2" t="s">
        <v>333</v>
      </c>
      <c r="G134" s="2"/>
      <c r="H134" s="3"/>
      <c r="I134" s="3" t="n">
        <v>2768.11</v>
      </c>
      <c r="J134" s="3"/>
      <c r="K134" s="3" t="n">
        <v>286.45</v>
      </c>
      <c r="L134" s="3"/>
      <c r="M134" s="3" t="n">
        <v>286.45</v>
      </c>
      <c r="N134" s="2" t="s">
        <v>322</v>
      </c>
      <c r="O134" s="2" t="s">
        <v>323</v>
      </c>
      <c r="P134" s="2" t="s">
        <v>324</v>
      </c>
      <c r="Q134" s="2" t="s">
        <v>334</v>
      </c>
    </row>
    <row r="135" customFormat="false" ht="15" hidden="false" customHeight="false" outlineLevel="0" collapsed="false">
      <c r="A135" s="2" t="s">
        <v>257</v>
      </c>
      <c r="B135" s="2" t="s">
        <v>272</v>
      </c>
      <c r="C135" s="2" t="s">
        <v>331</v>
      </c>
      <c r="D135" s="2" t="s">
        <v>318</v>
      </c>
      <c r="E135" s="2" t="s">
        <v>335</v>
      </c>
      <c r="F135" s="2" t="s">
        <v>336</v>
      </c>
      <c r="G135" s="2"/>
      <c r="H135" s="3"/>
      <c r="I135" s="3" t="n">
        <v>3050.23</v>
      </c>
      <c r="J135" s="3"/>
      <c r="K135" s="3" t="n">
        <v>44.23</v>
      </c>
      <c r="L135" s="3"/>
      <c r="M135" s="3" t="n">
        <v>44.23</v>
      </c>
      <c r="N135" s="2" t="s">
        <v>322</v>
      </c>
      <c r="O135" s="2" t="s">
        <v>323</v>
      </c>
      <c r="P135" s="2" t="s">
        <v>337</v>
      </c>
      <c r="Q135" s="2" t="s">
        <v>334</v>
      </c>
    </row>
    <row r="136" customFormat="false" ht="15" hidden="false" customHeight="false" outlineLevel="0" collapsed="false">
      <c r="A136" s="2" t="s">
        <v>257</v>
      </c>
      <c r="B136" s="2" t="s">
        <v>272</v>
      </c>
      <c r="C136" s="2" t="s">
        <v>331</v>
      </c>
      <c r="D136" s="2" t="s">
        <v>318</v>
      </c>
      <c r="E136" s="2" t="s">
        <v>338</v>
      </c>
      <c r="F136" s="2" t="s">
        <v>339</v>
      </c>
      <c r="G136" s="2"/>
      <c r="H136" s="3"/>
      <c r="I136" s="3" t="n">
        <v>3050.23</v>
      </c>
      <c r="J136" s="3"/>
      <c r="K136" s="3" t="n">
        <v>189.11</v>
      </c>
      <c r="L136" s="3"/>
      <c r="M136" s="3" t="n">
        <v>189.11</v>
      </c>
      <c r="N136" s="2" t="s">
        <v>322</v>
      </c>
      <c r="O136" s="2" t="s">
        <v>323</v>
      </c>
      <c r="P136" s="2" t="s">
        <v>324</v>
      </c>
      <c r="Q136" s="2" t="s">
        <v>334</v>
      </c>
    </row>
    <row r="137" customFormat="false" ht="15" hidden="false" customHeight="false" outlineLevel="0" collapsed="false">
      <c r="A137" s="2" t="s">
        <v>257</v>
      </c>
      <c r="B137" s="2" t="s">
        <v>272</v>
      </c>
      <c r="C137" s="2" t="s">
        <v>331</v>
      </c>
      <c r="D137" s="2" t="s">
        <v>318</v>
      </c>
      <c r="E137" s="2" t="s">
        <v>340</v>
      </c>
      <c r="F137" s="2" t="s">
        <v>341</v>
      </c>
      <c r="G137" s="2"/>
      <c r="H137" s="3"/>
      <c r="I137" s="3" t="n">
        <v>3143.38</v>
      </c>
      <c r="J137" s="3"/>
      <c r="K137" s="3" t="n">
        <v>18.86</v>
      </c>
      <c r="L137" s="3"/>
      <c r="M137" s="3" t="n">
        <v>18.86</v>
      </c>
      <c r="N137" s="2" t="s">
        <v>322</v>
      </c>
      <c r="O137" s="2" t="s">
        <v>323</v>
      </c>
      <c r="P137" s="2" t="s">
        <v>337</v>
      </c>
      <c r="Q137" s="2" t="s">
        <v>334</v>
      </c>
    </row>
    <row r="138" customFormat="false" ht="15" hidden="false" customHeight="false" outlineLevel="0" collapsed="false">
      <c r="A138" s="2" t="s">
        <v>257</v>
      </c>
      <c r="B138" s="2" t="s">
        <v>272</v>
      </c>
      <c r="C138" s="2" t="s">
        <v>331</v>
      </c>
      <c r="D138" s="2" t="s">
        <v>318</v>
      </c>
      <c r="E138" s="2" t="s">
        <v>342</v>
      </c>
      <c r="F138" s="2" t="s">
        <v>343</v>
      </c>
      <c r="G138" s="2"/>
      <c r="H138" s="3"/>
      <c r="I138" s="3" t="n">
        <v>2768.11</v>
      </c>
      <c r="J138" s="3"/>
      <c r="K138" s="3" t="n">
        <v>201.09</v>
      </c>
      <c r="L138" s="3"/>
      <c r="M138" s="3" t="n">
        <v>201.09</v>
      </c>
      <c r="N138" s="2" t="s">
        <v>322</v>
      </c>
      <c r="O138" s="2" t="s">
        <v>323</v>
      </c>
      <c r="P138" s="2" t="s">
        <v>324</v>
      </c>
      <c r="Q138" s="2" t="s">
        <v>334</v>
      </c>
    </row>
    <row r="139" customFormat="false" ht="15" hidden="false" customHeight="false" outlineLevel="0" collapsed="false">
      <c r="A139" s="2" t="s">
        <v>257</v>
      </c>
      <c r="B139" s="2" t="s">
        <v>272</v>
      </c>
      <c r="C139" s="2" t="s">
        <v>331</v>
      </c>
      <c r="D139" s="2" t="s">
        <v>318</v>
      </c>
      <c r="E139" s="2" t="s">
        <v>344</v>
      </c>
      <c r="F139" s="2" t="s">
        <v>345</v>
      </c>
      <c r="G139" s="2"/>
      <c r="H139" s="3"/>
      <c r="I139" s="3" t="n">
        <v>3143.38</v>
      </c>
      <c r="J139" s="3"/>
      <c r="K139" s="3" t="n">
        <v>3.14</v>
      </c>
      <c r="L139" s="3"/>
      <c r="M139" s="3" t="n">
        <v>3.14</v>
      </c>
      <c r="N139" s="2" t="s">
        <v>322</v>
      </c>
      <c r="O139" s="2" t="s">
        <v>323</v>
      </c>
      <c r="P139" s="2" t="s">
        <v>324</v>
      </c>
      <c r="Q139" s="2" t="s">
        <v>334</v>
      </c>
    </row>
    <row r="140" customFormat="false" ht="15" hidden="false" customHeight="false" outlineLevel="0" collapsed="false">
      <c r="A140" s="2" t="s">
        <v>257</v>
      </c>
      <c r="B140" s="2" t="s">
        <v>272</v>
      </c>
      <c r="C140" s="2" t="s">
        <v>331</v>
      </c>
      <c r="D140" s="2" t="s">
        <v>318</v>
      </c>
      <c r="E140" s="2" t="s">
        <v>346</v>
      </c>
      <c r="F140" s="2" t="s">
        <v>347</v>
      </c>
      <c r="G140" s="2"/>
      <c r="H140" s="3"/>
      <c r="I140" s="3"/>
      <c r="J140" s="3"/>
      <c r="K140" s="3" t="n">
        <v>282.12</v>
      </c>
      <c r="L140" s="3"/>
      <c r="M140" s="3" t="n">
        <v>282.12</v>
      </c>
      <c r="N140" s="2" t="s">
        <v>322</v>
      </c>
      <c r="O140" s="2" t="s">
        <v>348</v>
      </c>
      <c r="P140" s="2" t="s">
        <v>349</v>
      </c>
      <c r="Q140" s="2" t="s">
        <v>350</v>
      </c>
    </row>
    <row r="141" customFormat="false" ht="15" hidden="false" customHeight="false" outlineLevel="0" collapsed="false">
      <c r="A141" s="2" t="s">
        <v>257</v>
      </c>
      <c r="B141" s="2" t="s">
        <v>272</v>
      </c>
      <c r="C141" s="2" t="s">
        <v>331</v>
      </c>
      <c r="D141" s="2" t="s">
        <v>318</v>
      </c>
      <c r="E141" s="2" t="s">
        <v>351</v>
      </c>
      <c r="F141" s="2" t="s">
        <v>352</v>
      </c>
      <c r="G141" s="2"/>
      <c r="H141" s="3"/>
      <c r="I141" s="3"/>
      <c r="J141" s="3"/>
      <c r="K141" s="3" t="n">
        <v>5.05</v>
      </c>
      <c r="L141" s="3"/>
      <c r="M141" s="3" t="n">
        <v>5.05</v>
      </c>
      <c r="N141" s="2" t="s">
        <v>322</v>
      </c>
      <c r="O141" s="2" t="s">
        <v>348</v>
      </c>
      <c r="P141" s="2" t="s">
        <v>337</v>
      </c>
      <c r="Q141" s="2" t="s">
        <v>350</v>
      </c>
    </row>
    <row r="142" customFormat="false" ht="15" hidden="false" customHeight="false" outlineLevel="0" collapsed="false">
      <c r="A142" s="2" t="s">
        <v>257</v>
      </c>
      <c r="B142" s="2" t="s">
        <v>272</v>
      </c>
      <c r="C142" s="2" t="s">
        <v>331</v>
      </c>
      <c r="D142" s="2" t="s">
        <v>318</v>
      </c>
      <c r="E142" s="2" t="s">
        <v>353</v>
      </c>
      <c r="F142" s="2" t="s">
        <v>354</v>
      </c>
      <c r="G142" s="2"/>
      <c r="H142" s="3"/>
      <c r="I142" s="3"/>
      <c r="J142" s="3"/>
      <c r="K142" s="3" t="n">
        <v>11.9</v>
      </c>
      <c r="L142" s="3"/>
      <c r="M142" s="3" t="n">
        <v>11.9</v>
      </c>
      <c r="N142" s="2" t="s">
        <v>322</v>
      </c>
      <c r="O142" s="2" t="s">
        <v>348</v>
      </c>
      <c r="P142" s="2" t="s">
        <v>337</v>
      </c>
      <c r="Q142" s="2" t="s">
        <v>350</v>
      </c>
    </row>
    <row r="143" customFormat="false" ht="15" hidden="false" customHeight="false" outlineLevel="0" collapsed="false">
      <c r="A143" s="2" t="s">
        <v>257</v>
      </c>
      <c r="B143" s="2" t="s">
        <v>272</v>
      </c>
      <c r="C143" s="2" t="s">
        <v>331</v>
      </c>
      <c r="D143" s="2" t="s">
        <v>318</v>
      </c>
      <c r="E143" s="2" t="s">
        <v>355</v>
      </c>
      <c r="F143" s="2" t="s">
        <v>356</v>
      </c>
      <c r="G143" s="2"/>
      <c r="H143" s="3"/>
      <c r="I143" s="3"/>
      <c r="J143" s="3"/>
      <c r="K143" s="3" t="n">
        <v>76.2</v>
      </c>
      <c r="L143" s="3"/>
      <c r="M143" s="3" t="n">
        <v>76.2</v>
      </c>
      <c r="N143" s="2" t="s">
        <v>322</v>
      </c>
      <c r="O143" s="2" t="s">
        <v>348</v>
      </c>
      <c r="P143" s="2" t="s">
        <v>337</v>
      </c>
      <c r="Q143" s="2" t="s">
        <v>350</v>
      </c>
    </row>
    <row r="144" customFormat="false" ht="15" hidden="false" customHeight="false" outlineLevel="0" collapsed="false">
      <c r="A144" s="2" t="s">
        <v>257</v>
      </c>
      <c r="B144" s="2" t="s">
        <v>272</v>
      </c>
      <c r="C144" s="2" t="s">
        <v>357</v>
      </c>
      <c r="D144" s="2" t="s">
        <v>318</v>
      </c>
      <c r="E144" s="2" t="s">
        <v>358</v>
      </c>
      <c r="F144" s="2" t="s">
        <v>359</v>
      </c>
      <c r="G144" s="2"/>
      <c r="H144" s="3"/>
      <c r="I144" s="3"/>
      <c r="J144" s="3"/>
      <c r="K144" s="3"/>
      <c r="L144" s="3" t="n">
        <v>94.04</v>
      </c>
      <c r="M144" s="3" t="n">
        <v>94.04</v>
      </c>
      <c r="N144" s="2" t="s">
        <v>360</v>
      </c>
      <c r="O144" s="2" t="s">
        <v>348</v>
      </c>
      <c r="P144" s="2" t="s">
        <v>349</v>
      </c>
      <c r="Q144" s="2" t="s">
        <v>361</v>
      </c>
    </row>
    <row r="145" customFormat="false" ht="15" hidden="false" customHeight="false" outlineLevel="0" collapsed="false">
      <c r="A145" s="2" t="s">
        <v>257</v>
      </c>
      <c r="B145" s="2" t="s">
        <v>272</v>
      </c>
      <c r="C145" s="2" t="s">
        <v>357</v>
      </c>
      <c r="D145" s="2" t="s">
        <v>318</v>
      </c>
      <c r="E145" s="2" t="s">
        <v>362</v>
      </c>
      <c r="F145" s="2" t="s">
        <v>363</v>
      </c>
      <c r="G145" s="2"/>
      <c r="H145" s="3"/>
      <c r="I145" s="3"/>
      <c r="J145" s="3"/>
      <c r="K145" s="3"/>
      <c r="L145" s="3" t="n">
        <v>458.26</v>
      </c>
      <c r="M145" s="3" t="n">
        <v>458.26</v>
      </c>
      <c r="N145" s="2" t="s">
        <v>360</v>
      </c>
      <c r="O145" s="2" t="s">
        <v>348</v>
      </c>
      <c r="P145" s="2" t="s">
        <v>337</v>
      </c>
      <c r="Q145" s="2" t="s">
        <v>361</v>
      </c>
    </row>
    <row r="146" customFormat="false" ht="15" hidden="false" customHeight="false" outlineLevel="0" collapsed="false">
      <c r="A146" s="2" t="s">
        <v>279</v>
      </c>
      <c r="B146" s="2" t="s">
        <v>293</v>
      </c>
      <c r="C146" s="2" t="s">
        <v>317</v>
      </c>
      <c r="D146" s="2" t="s">
        <v>318</v>
      </c>
      <c r="E146" s="2" t="s">
        <v>319</v>
      </c>
      <c r="F146" s="2" t="s">
        <v>320</v>
      </c>
      <c r="G146" s="2" t="s">
        <v>321</v>
      </c>
      <c r="H146" s="3" t="n">
        <v>40</v>
      </c>
      <c r="I146" s="3"/>
      <c r="J146" s="3" t="n">
        <v>59.13</v>
      </c>
      <c r="K146" s="3" t="n">
        <v>2365.57</v>
      </c>
      <c r="L146" s="3"/>
      <c r="M146" s="3" t="n">
        <v>2365.57</v>
      </c>
      <c r="N146" s="2" t="s">
        <v>322</v>
      </c>
      <c r="O146" s="2" t="s">
        <v>323</v>
      </c>
      <c r="P146" s="2" t="s">
        <v>324</v>
      </c>
      <c r="Q146" s="2" t="s">
        <v>317</v>
      </c>
    </row>
    <row r="147" customFormat="false" ht="15" hidden="false" customHeight="false" outlineLevel="0" collapsed="false">
      <c r="A147" s="2" t="s">
        <v>279</v>
      </c>
      <c r="B147" s="2" t="s">
        <v>293</v>
      </c>
      <c r="C147" s="2" t="s">
        <v>317</v>
      </c>
      <c r="D147" s="2" t="s">
        <v>318</v>
      </c>
      <c r="E147" s="2" t="s">
        <v>364</v>
      </c>
      <c r="F147" s="2" t="s">
        <v>365</v>
      </c>
      <c r="G147" s="2" t="s">
        <v>321</v>
      </c>
      <c r="H147" s="3" t="n">
        <v>8</v>
      </c>
      <c r="I147" s="3"/>
      <c r="J147" s="3" t="n">
        <v>59.13</v>
      </c>
      <c r="K147" s="3" t="n">
        <v>473.04</v>
      </c>
      <c r="L147" s="3"/>
      <c r="M147" s="3" t="n">
        <v>473.04</v>
      </c>
      <c r="N147" s="2" t="s">
        <v>322</v>
      </c>
      <c r="O147" s="2" t="s">
        <v>323</v>
      </c>
      <c r="P147" s="2" t="s">
        <v>327</v>
      </c>
      <c r="Q147" s="2" t="s">
        <v>317</v>
      </c>
    </row>
    <row r="148" customFormat="false" ht="15" hidden="false" customHeight="false" outlineLevel="0" collapsed="false">
      <c r="A148" s="2" t="s">
        <v>279</v>
      </c>
      <c r="B148" s="2" t="s">
        <v>293</v>
      </c>
      <c r="C148" s="2" t="s">
        <v>317</v>
      </c>
      <c r="D148" s="2" t="s">
        <v>318</v>
      </c>
      <c r="E148" s="2" t="s">
        <v>325</v>
      </c>
      <c r="F148" s="2" t="s">
        <v>326</v>
      </c>
      <c r="G148" s="2" t="s">
        <v>321</v>
      </c>
      <c r="H148" s="3" t="n">
        <v>32</v>
      </c>
      <c r="I148" s="3"/>
      <c r="J148" s="3" t="n">
        <v>59.13</v>
      </c>
      <c r="K148" s="3" t="n">
        <v>1892.16</v>
      </c>
      <c r="L148" s="3"/>
      <c r="M148" s="3" t="n">
        <v>1892.16</v>
      </c>
      <c r="N148" s="2" t="s">
        <v>322</v>
      </c>
      <c r="O148" s="2" t="s">
        <v>323</v>
      </c>
      <c r="P148" s="2" t="s">
        <v>327</v>
      </c>
      <c r="Q148" s="2" t="s">
        <v>317</v>
      </c>
    </row>
    <row r="149" customFormat="false" ht="15" hidden="false" customHeight="false" outlineLevel="0" collapsed="false">
      <c r="A149" s="2" t="s">
        <v>279</v>
      </c>
      <c r="B149" s="2" t="s">
        <v>293</v>
      </c>
      <c r="C149" s="2" t="s">
        <v>317</v>
      </c>
      <c r="D149" s="2" t="s">
        <v>318</v>
      </c>
      <c r="E149" s="2" t="s">
        <v>366</v>
      </c>
      <c r="F149" s="2" t="s">
        <v>367</v>
      </c>
      <c r="G149" s="2"/>
      <c r="H149" s="3"/>
      <c r="I149" s="3"/>
      <c r="J149" s="3"/>
      <c r="K149" s="3" t="n">
        <v>271.57</v>
      </c>
      <c r="L149" s="3"/>
      <c r="M149" s="3" t="n">
        <v>271.57</v>
      </c>
      <c r="N149" s="2" t="s">
        <v>322</v>
      </c>
      <c r="O149" s="2" t="s">
        <v>323</v>
      </c>
      <c r="P149" s="2" t="s">
        <v>324</v>
      </c>
      <c r="Q149" s="2" t="s">
        <v>330</v>
      </c>
    </row>
    <row r="150" customFormat="false" ht="15" hidden="false" customHeight="false" outlineLevel="0" collapsed="false">
      <c r="A150" s="2" t="s">
        <v>279</v>
      </c>
      <c r="B150" s="2" t="s">
        <v>293</v>
      </c>
      <c r="C150" s="2" t="s">
        <v>317</v>
      </c>
      <c r="D150" s="2" t="s">
        <v>318</v>
      </c>
      <c r="E150" s="2" t="s">
        <v>328</v>
      </c>
      <c r="F150" s="2" t="s">
        <v>329</v>
      </c>
      <c r="G150" s="2"/>
      <c r="H150" s="3"/>
      <c r="I150" s="3"/>
      <c r="J150" s="3"/>
      <c r="K150" s="3" t="n">
        <v>6.07</v>
      </c>
      <c r="L150" s="3"/>
      <c r="M150" s="3" t="n">
        <v>6.07</v>
      </c>
      <c r="N150" s="2" t="s">
        <v>322</v>
      </c>
      <c r="O150" s="2" t="s">
        <v>323</v>
      </c>
      <c r="P150" s="2" t="s">
        <v>324</v>
      </c>
      <c r="Q150" s="2" t="s">
        <v>330</v>
      </c>
    </row>
    <row r="151" customFormat="false" ht="15" hidden="false" customHeight="false" outlineLevel="0" collapsed="false">
      <c r="A151" s="2" t="s">
        <v>279</v>
      </c>
      <c r="B151" s="2" t="s">
        <v>293</v>
      </c>
      <c r="C151" s="2" t="s">
        <v>331</v>
      </c>
      <c r="D151" s="2" t="s">
        <v>318</v>
      </c>
      <c r="E151" s="2" t="s">
        <v>332</v>
      </c>
      <c r="F151" s="2" t="s">
        <v>333</v>
      </c>
      <c r="G151" s="2"/>
      <c r="H151" s="3"/>
      <c r="I151" s="3" t="n">
        <v>3941.22</v>
      </c>
      <c r="J151" s="3"/>
      <c r="K151" s="3" t="n">
        <v>316.14</v>
      </c>
      <c r="L151" s="3"/>
      <c r="M151" s="3" t="n">
        <v>316.14</v>
      </c>
      <c r="N151" s="2" t="s">
        <v>322</v>
      </c>
      <c r="O151" s="2" t="s">
        <v>323</v>
      </c>
      <c r="P151" s="2" t="s">
        <v>324</v>
      </c>
      <c r="Q151" s="2" t="s">
        <v>334</v>
      </c>
    </row>
    <row r="152" customFormat="false" ht="15" hidden="false" customHeight="false" outlineLevel="0" collapsed="false">
      <c r="A152" s="2" t="s">
        <v>279</v>
      </c>
      <c r="B152" s="2" t="s">
        <v>293</v>
      </c>
      <c r="C152" s="2" t="s">
        <v>331</v>
      </c>
      <c r="D152" s="2" t="s">
        <v>318</v>
      </c>
      <c r="E152" s="2" t="s">
        <v>335</v>
      </c>
      <c r="F152" s="2" t="s">
        <v>336</v>
      </c>
      <c r="G152" s="2"/>
      <c r="H152" s="3"/>
      <c r="I152" s="3" t="n">
        <v>4792.76</v>
      </c>
      <c r="J152" s="3"/>
      <c r="K152" s="3" t="n">
        <v>69.5</v>
      </c>
      <c r="L152" s="3"/>
      <c r="M152" s="3" t="n">
        <v>69.5</v>
      </c>
      <c r="N152" s="2" t="s">
        <v>322</v>
      </c>
      <c r="O152" s="2" t="s">
        <v>323</v>
      </c>
      <c r="P152" s="2" t="s">
        <v>337</v>
      </c>
      <c r="Q152" s="2" t="s">
        <v>334</v>
      </c>
    </row>
    <row r="153" customFormat="false" ht="15" hidden="false" customHeight="false" outlineLevel="0" collapsed="false">
      <c r="A153" s="2" t="s">
        <v>279</v>
      </c>
      <c r="B153" s="2" t="s">
        <v>293</v>
      </c>
      <c r="C153" s="2" t="s">
        <v>331</v>
      </c>
      <c r="D153" s="2" t="s">
        <v>318</v>
      </c>
      <c r="E153" s="2" t="s">
        <v>338</v>
      </c>
      <c r="F153" s="2" t="s">
        <v>339</v>
      </c>
      <c r="G153" s="2"/>
      <c r="H153" s="3"/>
      <c r="I153" s="3" t="n">
        <v>4792.76</v>
      </c>
      <c r="J153" s="3"/>
      <c r="K153" s="3" t="n">
        <v>297.15</v>
      </c>
      <c r="L153" s="3"/>
      <c r="M153" s="3" t="n">
        <v>297.15</v>
      </c>
      <c r="N153" s="2" t="s">
        <v>322</v>
      </c>
      <c r="O153" s="2" t="s">
        <v>323</v>
      </c>
      <c r="P153" s="2" t="s">
        <v>324</v>
      </c>
      <c r="Q153" s="2" t="s">
        <v>334</v>
      </c>
    </row>
    <row r="154" customFormat="false" ht="15" hidden="false" customHeight="false" outlineLevel="0" collapsed="false">
      <c r="A154" s="2" t="s">
        <v>279</v>
      </c>
      <c r="B154" s="2" t="s">
        <v>293</v>
      </c>
      <c r="C154" s="2" t="s">
        <v>331</v>
      </c>
      <c r="D154" s="2" t="s">
        <v>318</v>
      </c>
      <c r="E154" s="2" t="s">
        <v>340</v>
      </c>
      <c r="F154" s="2" t="s">
        <v>341</v>
      </c>
      <c r="G154" s="2"/>
      <c r="H154" s="3"/>
      <c r="I154" s="3" t="n">
        <v>5008.41</v>
      </c>
      <c r="J154" s="3"/>
      <c r="K154" s="3" t="n">
        <v>30.05</v>
      </c>
      <c r="L154" s="3"/>
      <c r="M154" s="3" t="n">
        <v>30.05</v>
      </c>
      <c r="N154" s="2" t="s">
        <v>322</v>
      </c>
      <c r="O154" s="2" t="s">
        <v>323</v>
      </c>
      <c r="P154" s="2" t="s">
        <v>337</v>
      </c>
      <c r="Q154" s="2" t="s">
        <v>334</v>
      </c>
    </row>
    <row r="155" customFormat="false" ht="15" hidden="false" customHeight="false" outlineLevel="0" collapsed="false">
      <c r="A155" s="2" t="s">
        <v>279</v>
      </c>
      <c r="B155" s="2" t="s">
        <v>293</v>
      </c>
      <c r="C155" s="2" t="s">
        <v>331</v>
      </c>
      <c r="D155" s="2" t="s">
        <v>318</v>
      </c>
      <c r="E155" s="2" t="s">
        <v>342</v>
      </c>
      <c r="F155" s="2" t="s">
        <v>343</v>
      </c>
      <c r="G155" s="2"/>
      <c r="H155" s="3"/>
      <c r="I155" s="3" t="n">
        <v>3941.22</v>
      </c>
      <c r="J155" s="3"/>
      <c r="K155" s="3" t="n">
        <v>272.47</v>
      </c>
      <c r="L155" s="3"/>
      <c r="M155" s="3" t="n">
        <v>272.47</v>
      </c>
      <c r="N155" s="2" t="s">
        <v>322</v>
      </c>
      <c r="O155" s="2" t="s">
        <v>323</v>
      </c>
      <c r="P155" s="2" t="s">
        <v>324</v>
      </c>
      <c r="Q155" s="2" t="s">
        <v>334</v>
      </c>
    </row>
    <row r="156" customFormat="false" ht="15" hidden="false" customHeight="false" outlineLevel="0" collapsed="false">
      <c r="A156" s="2" t="s">
        <v>279</v>
      </c>
      <c r="B156" s="2" t="s">
        <v>293</v>
      </c>
      <c r="C156" s="2" t="s">
        <v>331</v>
      </c>
      <c r="D156" s="2" t="s">
        <v>318</v>
      </c>
      <c r="E156" s="2" t="s">
        <v>344</v>
      </c>
      <c r="F156" s="2" t="s">
        <v>345</v>
      </c>
      <c r="G156" s="2"/>
      <c r="H156" s="3"/>
      <c r="I156" s="3" t="n">
        <v>5008.41</v>
      </c>
      <c r="J156" s="3"/>
      <c r="K156" s="3" t="n">
        <v>5.01</v>
      </c>
      <c r="L156" s="3"/>
      <c r="M156" s="3" t="n">
        <v>5.01</v>
      </c>
      <c r="N156" s="2" t="s">
        <v>322</v>
      </c>
      <c r="O156" s="2" t="s">
        <v>323</v>
      </c>
      <c r="P156" s="2" t="s">
        <v>324</v>
      </c>
      <c r="Q156" s="2" t="s">
        <v>334</v>
      </c>
    </row>
    <row r="157" customFormat="false" ht="15" hidden="false" customHeight="false" outlineLevel="0" collapsed="false">
      <c r="A157" s="2" t="s">
        <v>279</v>
      </c>
      <c r="B157" s="2" t="s">
        <v>293</v>
      </c>
      <c r="C157" s="2" t="s">
        <v>331</v>
      </c>
      <c r="D157" s="2" t="s">
        <v>318</v>
      </c>
      <c r="E157" s="2" t="s">
        <v>346</v>
      </c>
      <c r="F157" s="2" t="s">
        <v>347</v>
      </c>
      <c r="G157" s="2"/>
      <c r="H157" s="3"/>
      <c r="I157" s="3"/>
      <c r="J157" s="3"/>
      <c r="K157" s="3" t="n">
        <v>851.54</v>
      </c>
      <c r="L157" s="3"/>
      <c r="M157" s="3" t="n">
        <v>851.54</v>
      </c>
      <c r="N157" s="2" t="s">
        <v>322</v>
      </c>
      <c r="O157" s="2" t="s">
        <v>348</v>
      </c>
      <c r="P157" s="2" t="s">
        <v>349</v>
      </c>
      <c r="Q157" s="2" t="s">
        <v>350</v>
      </c>
    </row>
    <row r="158" customFormat="false" ht="15" hidden="false" customHeight="false" outlineLevel="0" collapsed="false">
      <c r="A158" s="2" t="s">
        <v>279</v>
      </c>
      <c r="B158" s="2" t="s">
        <v>293</v>
      </c>
      <c r="C158" s="2" t="s">
        <v>331</v>
      </c>
      <c r="D158" s="2" t="s">
        <v>318</v>
      </c>
      <c r="E158" s="2" t="s">
        <v>351</v>
      </c>
      <c r="F158" s="2" t="s">
        <v>352</v>
      </c>
      <c r="G158" s="2"/>
      <c r="H158" s="3"/>
      <c r="I158" s="3"/>
      <c r="J158" s="3"/>
      <c r="K158" s="3" t="n">
        <v>11.2</v>
      </c>
      <c r="L158" s="3"/>
      <c r="M158" s="3" t="n">
        <v>11.2</v>
      </c>
      <c r="N158" s="2" t="s">
        <v>322</v>
      </c>
      <c r="O158" s="2" t="s">
        <v>348</v>
      </c>
      <c r="P158" s="2" t="s">
        <v>337</v>
      </c>
      <c r="Q158" s="2" t="s">
        <v>350</v>
      </c>
    </row>
    <row r="159" customFormat="false" ht="15" hidden="false" customHeight="false" outlineLevel="0" collapsed="false">
      <c r="A159" s="2" t="s">
        <v>279</v>
      </c>
      <c r="B159" s="2" t="s">
        <v>293</v>
      </c>
      <c r="C159" s="2" t="s">
        <v>331</v>
      </c>
      <c r="D159" s="2" t="s">
        <v>318</v>
      </c>
      <c r="E159" s="2" t="s">
        <v>353</v>
      </c>
      <c r="F159" s="2" t="s">
        <v>354</v>
      </c>
      <c r="G159" s="2"/>
      <c r="H159" s="3"/>
      <c r="I159" s="3"/>
      <c r="J159" s="3"/>
      <c r="K159" s="3" t="n">
        <v>27.95</v>
      </c>
      <c r="L159" s="3"/>
      <c r="M159" s="3" t="n">
        <v>27.95</v>
      </c>
      <c r="N159" s="2" t="s">
        <v>322</v>
      </c>
      <c r="O159" s="2" t="s">
        <v>348</v>
      </c>
      <c r="P159" s="2" t="s">
        <v>337</v>
      </c>
      <c r="Q159" s="2" t="s">
        <v>350</v>
      </c>
    </row>
    <row r="160" customFormat="false" ht="15" hidden="false" customHeight="false" outlineLevel="0" collapsed="false">
      <c r="A160" s="2" t="s">
        <v>279</v>
      </c>
      <c r="B160" s="2" t="s">
        <v>293</v>
      </c>
      <c r="C160" s="2" t="s">
        <v>331</v>
      </c>
      <c r="D160" s="2" t="s">
        <v>318</v>
      </c>
      <c r="E160" s="2" t="s">
        <v>355</v>
      </c>
      <c r="F160" s="2" t="s">
        <v>356</v>
      </c>
      <c r="G160" s="2"/>
      <c r="H160" s="3"/>
      <c r="I160" s="3"/>
      <c r="J160" s="3"/>
      <c r="K160" s="3" t="n">
        <v>176.5</v>
      </c>
      <c r="L160" s="3"/>
      <c r="M160" s="3" t="n">
        <v>176.5</v>
      </c>
      <c r="N160" s="2" t="s">
        <v>322</v>
      </c>
      <c r="O160" s="2" t="s">
        <v>348</v>
      </c>
      <c r="P160" s="2" t="s">
        <v>337</v>
      </c>
      <c r="Q160" s="2" t="s">
        <v>350</v>
      </c>
    </row>
    <row r="161" customFormat="false" ht="15" hidden="false" customHeight="false" outlineLevel="0" collapsed="false">
      <c r="A161" s="2" t="s">
        <v>279</v>
      </c>
      <c r="B161" s="2" t="s">
        <v>293</v>
      </c>
      <c r="C161" s="2" t="s">
        <v>331</v>
      </c>
      <c r="D161" s="2" t="s">
        <v>318</v>
      </c>
      <c r="E161" s="2" t="s">
        <v>368</v>
      </c>
      <c r="F161" s="2" t="s">
        <v>369</v>
      </c>
      <c r="G161" s="2"/>
      <c r="H161" s="3"/>
      <c r="I161" s="3"/>
      <c r="J161" s="3"/>
      <c r="K161" s="3" t="n">
        <v>8.96</v>
      </c>
      <c r="L161" s="3"/>
      <c r="M161" s="3" t="n">
        <v>8.96</v>
      </c>
      <c r="N161" s="2" t="s">
        <v>322</v>
      </c>
      <c r="O161" s="2" t="s">
        <v>323</v>
      </c>
      <c r="P161" s="2" t="s">
        <v>337</v>
      </c>
      <c r="Q161" s="2" t="s">
        <v>370</v>
      </c>
    </row>
    <row r="162" customFormat="false" ht="15" hidden="false" customHeight="false" outlineLevel="0" collapsed="false">
      <c r="A162" s="2" t="s">
        <v>279</v>
      </c>
      <c r="B162" s="2" t="s">
        <v>293</v>
      </c>
      <c r="C162" s="2" t="s">
        <v>331</v>
      </c>
      <c r="D162" s="2" t="s">
        <v>318</v>
      </c>
      <c r="E162" s="2" t="s">
        <v>371</v>
      </c>
      <c r="F162" s="2" t="s">
        <v>372</v>
      </c>
      <c r="G162" s="2"/>
      <c r="H162" s="3"/>
      <c r="I162" s="3"/>
      <c r="J162" s="3"/>
      <c r="K162" s="3" t="n">
        <v>27.95</v>
      </c>
      <c r="L162" s="3"/>
      <c r="M162" s="3" t="n">
        <v>27.95</v>
      </c>
      <c r="N162" s="2" t="s">
        <v>322</v>
      </c>
      <c r="O162" s="2" t="s">
        <v>323</v>
      </c>
      <c r="P162" s="2" t="s">
        <v>337</v>
      </c>
      <c r="Q162" s="2" t="s">
        <v>370</v>
      </c>
    </row>
    <row r="163" customFormat="false" ht="15" hidden="false" customHeight="false" outlineLevel="0" collapsed="false">
      <c r="A163" s="2" t="s">
        <v>279</v>
      </c>
      <c r="B163" s="2" t="s">
        <v>293</v>
      </c>
      <c r="C163" s="2" t="s">
        <v>331</v>
      </c>
      <c r="D163" s="2" t="s">
        <v>318</v>
      </c>
      <c r="E163" s="2" t="s">
        <v>373</v>
      </c>
      <c r="F163" s="2" t="s">
        <v>374</v>
      </c>
      <c r="G163" s="2"/>
      <c r="H163" s="3"/>
      <c r="I163" s="3"/>
      <c r="J163" s="3"/>
      <c r="K163" s="3" t="n">
        <v>238.28</v>
      </c>
      <c r="L163" s="3"/>
      <c r="M163" s="3" t="n">
        <v>238.28</v>
      </c>
      <c r="N163" s="2" t="s">
        <v>322</v>
      </c>
      <c r="O163" s="2" t="s">
        <v>323</v>
      </c>
      <c r="P163" s="2" t="s">
        <v>337</v>
      </c>
      <c r="Q163" s="2" t="s">
        <v>370</v>
      </c>
    </row>
    <row r="164" customFormat="false" ht="15" hidden="false" customHeight="false" outlineLevel="0" collapsed="false">
      <c r="A164" s="2" t="s">
        <v>279</v>
      </c>
      <c r="B164" s="2" t="s">
        <v>293</v>
      </c>
      <c r="C164" s="2" t="s">
        <v>357</v>
      </c>
      <c r="D164" s="2" t="s">
        <v>318</v>
      </c>
      <c r="E164" s="2" t="s">
        <v>358</v>
      </c>
      <c r="F164" s="2" t="s">
        <v>359</v>
      </c>
      <c r="G164" s="2"/>
      <c r="H164" s="3"/>
      <c r="I164" s="3"/>
      <c r="J164" s="3"/>
      <c r="K164" s="3"/>
      <c r="L164" s="3" t="n">
        <v>141.92</v>
      </c>
      <c r="M164" s="3" t="n">
        <v>141.92</v>
      </c>
      <c r="N164" s="2" t="s">
        <v>360</v>
      </c>
      <c r="O164" s="2" t="s">
        <v>348</v>
      </c>
      <c r="P164" s="2" t="s">
        <v>349</v>
      </c>
      <c r="Q164" s="2" t="s">
        <v>361</v>
      </c>
    </row>
    <row r="165" customFormat="false" ht="15" hidden="false" customHeight="false" outlineLevel="0" collapsed="false">
      <c r="A165" s="2" t="s">
        <v>279</v>
      </c>
      <c r="B165" s="2" t="s">
        <v>293</v>
      </c>
      <c r="C165" s="2" t="s">
        <v>357</v>
      </c>
      <c r="D165" s="2" t="s">
        <v>318</v>
      </c>
      <c r="E165" s="2" t="s">
        <v>362</v>
      </c>
      <c r="F165" s="2" t="s">
        <v>363</v>
      </c>
      <c r="G165" s="2"/>
      <c r="H165" s="3"/>
      <c r="I165" s="3"/>
      <c r="J165" s="3"/>
      <c r="K165" s="3"/>
      <c r="L165" s="3" t="n">
        <v>1224.29</v>
      </c>
      <c r="M165" s="3" t="n">
        <v>1224.29</v>
      </c>
      <c r="N165" s="2" t="s">
        <v>360</v>
      </c>
      <c r="O165" s="2" t="s">
        <v>348</v>
      </c>
      <c r="P165" s="2" t="s">
        <v>337</v>
      </c>
      <c r="Q165" s="2" t="s">
        <v>361</v>
      </c>
    </row>
  </sheetData>
  <autoFilter ref="A1:Q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7" min="6" style="0" width="23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7"/>
  </cols>
  <sheetData>
    <row r="1" customFormat="false" ht="30" hidden="false" customHeight="true" outlineLevel="0" collapsed="false">
      <c r="A1" s="1" t="s">
        <v>375</v>
      </c>
      <c r="B1" s="1" t="s">
        <v>304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</row>
    <row r="2" customFormat="false" ht="15" hidden="false" customHeight="false" outlineLevel="0" collapsed="false">
      <c r="A2" s="2" t="s">
        <v>320</v>
      </c>
      <c r="B2" s="2" t="s">
        <v>319</v>
      </c>
      <c r="C2" s="4" t="n">
        <f aca="false">COUNTIF('Pay Line Items'!$E$2:$E$165,B2)</f>
        <v>10</v>
      </c>
      <c r="D2" s="3" t="n">
        <f aca="false">SUMIF('Pay Line Items'!$E$2:$E$165,B2,'Pay Line Items'!$M$2:$M$165)</f>
        <v>29659.92</v>
      </c>
      <c r="E2" s="3" t="n">
        <f aca="false">IF(C2=0,0,D2/C2)</f>
        <v>2965.992</v>
      </c>
      <c r="F2" s="2" t="s">
        <v>384</v>
      </c>
      <c r="G2" s="2" t="s">
        <v>317</v>
      </c>
      <c r="H2" s="4" t="n">
        <v>1</v>
      </c>
      <c r="I2" s="2" t="s">
        <v>77</v>
      </c>
      <c r="J2" s="2" t="s">
        <v>52</v>
      </c>
    </row>
    <row r="3" customFormat="false" ht="15" hidden="false" customHeight="false" outlineLevel="0" collapsed="false">
      <c r="A3" s="2" t="s">
        <v>365</v>
      </c>
      <c r="B3" s="2" t="s">
        <v>364</v>
      </c>
      <c r="C3" s="4" t="n">
        <f aca="false">COUNTIF('Pay Line Items'!$E$2:$E$165,B3)</f>
        <v>5</v>
      </c>
      <c r="D3" s="3" t="n">
        <f aca="false">SUMIF('Pay Line Items'!$E$2:$E$165,B3,'Pay Line Items'!$M$2:$M$165)</f>
        <v>2100</v>
      </c>
      <c r="E3" s="3" t="n">
        <f aca="false">IF(C3=0,0,D3/C3)</f>
        <v>420</v>
      </c>
      <c r="F3" s="2" t="s">
        <v>384</v>
      </c>
      <c r="G3" s="2" t="s">
        <v>317</v>
      </c>
      <c r="H3" s="4" t="n">
        <v>2</v>
      </c>
      <c r="I3" s="2" t="s">
        <v>77</v>
      </c>
      <c r="J3" s="2" t="s">
        <v>52</v>
      </c>
    </row>
    <row r="4" customFormat="false" ht="15" hidden="false" customHeight="false" outlineLevel="0" collapsed="false">
      <c r="A4" s="2" t="s">
        <v>326</v>
      </c>
      <c r="B4" s="2" t="s">
        <v>325</v>
      </c>
      <c r="C4" s="4" t="n">
        <f aca="false">COUNTIF('Pay Line Items'!$E$2:$E$165,B4)</f>
        <v>7</v>
      </c>
      <c r="D4" s="3" t="n">
        <f aca="false">SUMIF('Pay Line Items'!$E$2:$E$165,B4,'Pay Line Items'!$M$2:$M$165)</f>
        <v>7586.24</v>
      </c>
      <c r="E4" s="3" t="n">
        <f aca="false">IF(C4=0,0,D4/C4)</f>
        <v>1083.74857142857</v>
      </c>
      <c r="F4" s="2" t="s">
        <v>384</v>
      </c>
      <c r="G4" s="2" t="s">
        <v>317</v>
      </c>
      <c r="H4" s="4" t="n">
        <v>3</v>
      </c>
      <c r="I4" s="2" t="s">
        <v>77</v>
      </c>
      <c r="J4" s="2" t="s">
        <v>52</v>
      </c>
    </row>
    <row r="5" customFormat="false" ht="15" hidden="false" customHeight="false" outlineLevel="0" collapsed="false">
      <c r="A5" s="2" t="s">
        <v>367</v>
      </c>
      <c r="B5" s="2" t="s">
        <v>366</v>
      </c>
      <c r="C5" s="4" t="n">
        <f aca="false">COUNTIF('Pay Line Items'!$E$2:$E$165,B5)</f>
        <v>3</v>
      </c>
      <c r="D5" s="3" t="n">
        <f aca="false">SUMIF('Pay Line Items'!$E$2:$E$165,B5,'Pay Line Items'!$M$2:$M$165)</f>
        <v>762.92</v>
      </c>
      <c r="E5" s="3" t="n">
        <f aca="false">IF(C5=0,0,D5/C5)</f>
        <v>254.306666666667</v>
      </c>
      <c r="F5" s="2" t="s">
        <v>384</v>
      </c>
      <c r="G5" s="2" t="s">
        <v>330</v>
      </c>
      <c r="H5" s="4" t="n">
        <v>4</v>
      </c>
      <c r="I5" s="2" t="s">
        <v>77</v>
      </c>
      <c r="J5" s="2" t="s">
        <v>52</v>
      </c>
    </row>
    <row r="6" customFormat="false" ht="15" hidden="false" customHeight="false" outlineLevel="0" collapsed="false">
      <c r="A6" s="2" t="s">
        <v>329</v>
      </c>
      <c r="B6" s="2" t="s">
        <v>328</v>
      </c>
      <c r="C6" s="4" t="n">
        <f aca="false">COUNTIF('Pay Line Items'!$E$2:$E$165,B6)</f>
        <v>10</v>
      </c>
      <c r="D6" s="3" t="n">
        <f aca="false">SUMIF('Pay Line Items'!$E$2:$E$165,B6,'Pay Line Items'!$M$2:$M$165)</f>
        <v>62.45</v>
      </c>
      <c r="E6" s="3" t="n">
        <f aca="false">IF(C6=0,0,D6/C6)</f>
        <v>6.245</v>
      </c>
      <c r="F6" s="2" t="s">
        <v>384</v>
      </c>
      <c r="G6" s="2" t="s">
        <v>330</v>
      </c>
      <c r="H6" s="4" t="n">
        <v>5</v>
      </c>
      <c r="I6" s="2" t="s">
        <v>77</v>
      </c>
      <c r="J6" s="2" t="s">
        <v>52</v>
      </c>
    </row>
    <row r="7" customFormat="false" ht="15" hidden="false" customHeight="false" outlineLevel="0" collapsed="false">
      <c r="A7" s="2" t="s">
        <v>333</v>
      </c>
      <c r="B7" s="2" t="s">
        <v>332</v>
      </c>
      <c r="C7" s="4" t="n">
        <f aca="false">COUNTIF('Pay Line Items'!$E$2:$E$165,B7)</f>
        <v>10</v>
      </c>
      <c r="D7" s="3" t="n">
        <f aca="false">SUMIF('Pay Line Items'!$E$2:$E$165,B7,'Pay Line Items'!$M$2:$M$165)</f>
        <v>3608.95</v>
      </c>
      <c r="E7" s="3" t="n">
        <f aca="false">IF(C7=0,0,D7/C7)</f>
        <v>360.895</v>
      </c>
      <c r="F7" s="2" t="s">
        <v>385</v>
      </c>
      <c r="G7" s="2" t="s">
        <v>334</v>
      </c>
      <c r="H7" s="4" t="n">
        <v>6</v>
      </c>
      <c r="I7" s="2" t="s">
        <v>77</v>
      </c>
      <c r="J7" s="2" t="s">
        <v>52</v>
      </c>
    </row>
    <row r="8" customFormat="false" ht="15" hidden="false" customHeight="false" outlineLevel="0" collapsed="false">
      <c r="A8" s="2" t="s">
        <v>339</v>
      </c>
      <c r="B8" s="2" t="s">
        <v>338</v>
      </c>
      <c r="C8" s="4" t="n">
        <f aca="false">COUNTIF('Pay Line Items'!$E$2:$E$165,B8)</f>
        <v>10</v>
      </c>
      <c r="D8" s="3" t="n">
        <f aca="false">SUMIF('Pay Line Items'!$E$2:$E$165,B8,'Pay Line Items'!$M$2:$M$165)</f>
        <v>2397.18</v>
      </c>
      <c r="E8" s="3" t="n">
        <f aca="false">IF(C8=0,0,D8/C8)</f>
        <v>239.718</v>
      </c>
      <c r="F8" s="2" t="s">
        <v>385</v>
      </c>
      <c r="G8" s="2" t="s">
        <v>334</v>
      </c>
      <c r="H8" s="4" t="n">
        <v>7</v>
      </c>
      <c r="I8" s="2" t="s">
        <v>77</v>
      </c>
      <c r="J8" s="2" t="s">
        <v>52</v>
      </c>
    </row>
    <row r="9" customFormat="false" ht="15" hidden="false" customHeight="false" outlineLevel="0" collapsed="false">
      <c r="A9" s="2" t="s">
        <v>336</v>
      </c>
      <c r="B9" s="2" t="s">
        <v>335</v>
      </c>
      <c r="C9" s="4" t="n">
        <f aca="false">COUNTIF('Pay Line Items'!$E$2:$E$165,B9)</f>
        <v>10</v>
      </c>
      <c r="D9" s="3" t="n">
        <f aca="false">SUMIF('Pay Line Items'!$E$2:$E$165,B9,'Pay Line Items'!$M$2:$M$165)</f>
        <v>560.64</v>
      </c>
      <c r="E9" s="3" t="n">
        <f aca="false">IF(C9=0,0,D9/C9)</f>
        <v>56.064</v>
      </c>
      <c r="F9" s="2" t="s">
        <v>385</v>
      </c>
      <c r="G9" s="2" t="s">
        <v>334</v>
      </c>
      <c r="H9" s="4" t="n">
        <v>8</v>
      </c>
      <c r="I9" s="2" t="s">
        <v>77</v>
      </c>
      <c r="J9" s="2" t="s">
        <v>52</v>
      </c>
    </row>
    <row r="10" customFormat="false" ht="15" hidden="false" customHeight="false" outlineLevel="0" collapsed="false">
      <c r="A10" s="2" t="s">
        <v>343</v>
      </c>
      <c r="B10" s="2" t="s">
        <v>342</v>
      </c>
      <c r="C10" s="4" t="n">
        <f aca="false">COUNTIF('Pay Line Items'!$E$2:$E$165,B10)</f>
        <v>10</v>
      </c>
      <c r="D10" s="3" t="n">
        <f aca="false">SUMIF('Pay Line Items'!$E$2:$E$165,B10,'Pay Line Items'!$M$2:$M$165)</f>
        <v>2488.51</v>
      </c>
      <c r="E10" s="3" t="n">
        <f aca="false">IF(C10=0,0,D10/C10)</f>
        <v>248.851</v>
      </c>
      <c r="F10" s="2" t="s">
        <v>385</v>
      </c>
      <c r="G10" s="2" t="s">
        <v>334</v>
      </c>
      <c r="H10" s="4" t="n">
        <v>9</v>
      </c>
      <c r="I10" s="2" t="s">
        <v>77</v>
      </c>
      <c r="J10" s="2" t="s">
        <v>52</v>
      </c>
    </row>
    <row r="11" customFormat="false" ht="15" hidden="false" customHeight="false" outlineLevel="0" collapsed="false">
      <c r="A11" s="2" t="s">
        <v>341</v>
      </c>
      <c r="B11" s="2" t="s">
        <v>340</v>
      </c>
      <c r="C11" s="4" t="n">
        <f aca="false">COUNTIF('Pay Line Items'!$E$2:$E$165,B11)</f>
        <v>10</v>
      </c>
      <c r="D11" s="3" t="n">
        <f aca="false">SUMIF('Pay Line Items'!$E$2:$E$165,B11,'Pay Line Items'!$M$2:$M$165)</f>
        <v>241.02</v>
      </c>
      <c r="E11" s="3" t="n">
        <f aca="false">IF(C11=0,0,D11/C11)</f>
        <v>24.102</v>
      </c>
      <c r="F11" s="2" t="s">
        <v>385</v>
      </c>
      <c r="G11" s="2" t="s">
        <v>334</v>
      </c>
      <c r="H11" s="4" t="n">
        <v>10</v>
      </c>
      <c r="I11" s="2" t="s">
        <v>77</v>
      </c>
      <c r="J11" s="2" t="s">
        <v>52</v>
      </c>
    </row>
    <row r="12" customFormat="false" ht="15" hidden="false" customHeight="false" outlineLevel="0" collapsed="false">
      <c r="A12" s="2" t="s">
        <v>345</v>
      </c>
      <c r="B12" s="2" t="s">
        <v>344</v>
      </c>
      <c r="C12" s="4" t="n">
        <f aca="false">COUNTIF('Pay Line Items'!$E$2:$E$165,B12)</f>
        <v>10</v>
      </c>
      <c r="D12" s="3" t="n">
        <f aca="false">SUMIF('Pay Line Items'!$E$2:$E$165,B12,'Pay Line Items'!$M$2:$M$165)</f>
        <v>40.18</v>
      </c>
      <c r="E12" s="3" t="n">
        <f aca="false">IF(C12=0,0,D12/C12)</f>
        <v>4.018</v>
      </c>
      <c r="F12" s="2" t="s">
        <v>385</v>
      </c>
      <c r="G12" s="2" t="s">
        <v>334</v>
      </c>
      <c r="H12" s="4" t="n">
        <v>11</v>
      </c>
      <c r="I12" s="2" t="s">
        <v>77</v>
      </c>
      <c r="J12" s="2" t="s">
        <v>52</v>
      </c>
    </row>
    <row r="13" customFormat="false" ht="15" hidden="false" customHeight="false" outlineLevel="0" collapsed="false">
      <c r="A13" s="2" t="s">
        <v>347</v>
      </c>
      <c r="B13" s="2" t="s">
        <v>346</v>
      </c>
      <c r="C13" s="4" t="n">
        <f aca="false">COUNTIF('Pay Line Items'!$E$2:$E$165,B13)</f>
        <v>10</v>
      </c>
      <c r="D13" s="3" t="n">
        <f aca="false">SUMIF('Pay Line Items'!$E$2:$E$165,B13,'Pay Line Items'!$M$2:$M$165)</f>
        <v>3975.58</v>
      </c>
      <c r="E13" s="3" t="n">
        <f aca="false">IF(C13=0,0,D13/C13)</f>
        <v>397.558</v>
      </c>
      <c r="F13" s="2" t="s">
        <v>385</v>
      </c>
      <c r="G13" s="2" t="s">
        <v>350</v>
      </c>
      <c r="H13" s="4" t="n">
        <v>12</v>
      </c>
      <c r="I13" s="2" t="s">
        <v>77</v>
      </c>
      <c r="J13" s="2" t="s">
        <v>52</v>
      </c>
    </row>
    <row r="14" customFormat="false" ht="15" hidden="false" customHeight="false" outlineLevel="0" collapsed="false">
      <c r="A14" s="2" t="s">
        <v>356</v>
      </c>
      <c r="B14" s="2" t="s">
        <v>355</v>
      </c>
      <c r="C14" s="4" t="n">
        <f aca="false">COUNTIF('Pay Line Items'!$E$2:$E$165,B14)</f>
        <v>10</v>
      </c>
      <c r="D14" s="3" t="n">
        <f aca="false">SUMIF('Pay Line Items'!$E$2:$E$165,B14,'Pay Line Items'!$M$2:$M$165)</f>
        <v>1232.25</v>
      </c>
      <c r="E14" s="3" t="n">
        <f aca="false">IF(C14=0,0,D14/C14)</f>
        <v>123.225</v>
      </c>
      <c r="F14" s="2" t="s">
        <v>385</v>
      </c>
      <c r="G14" s="2" t="s">
        <v>350</v>
      </c>
      <c r="H14" s="4" t="n">
        <v>13</v>
      </c>
      <c r="I14" s="2" t="s">
        <v>77</v>
      </c>
      <c r="J14" s="2" t="s">
        <v>52</v>
      </c>
    </row>
    <row r="15" customFormat="false" ht="15" hidden="false" customHeight="false" outlineLevel="0" collapsed="false">
      <c r="A15" s="2" t="s">
        <v>354</v>
      </c>
      <c r="B15" s="2" t="s">
        <v>353</v>
      </c>
      <c r="C15" s="4" t="n">
        <f aca="false">COUNTIF('Pay Line Items'!$E$2:$E$165,B15)</f>
        <v>10</v>
      </c>
      <c r="D15" s="3" t="n">
        <f aca="false">SUMIF('Pay Line Items'!$E$2:$E$165,B15,'Pay Line Items'!$M$2:$M$165)</f>
        <v>196.1</v>
      </c>
      <c r="E15" s="3" t="n">
        <f aca="false">IF(C15=0,0,D15/C15)</f>
        <v>19.61</v>
      </c>
      <c r="F15" s="2" t="s">
        <v>385</v>
      </c>
      <c r="G15" s="2" t="s">
        <v>350</v>
      </c>
      <c r="H15" s="4" t="n">
        <v>14</v>
      </c>
      <c r="I15" s="2" t="s">
        <v>77</v>
      </c>
      <c r="J15" s="2" t="s">
        <v>52</v>
      </c>
    </row>
    <row r="16" customFormat="false" ht="15" hidden="false" customHeight="false" outlineLevel="0" collapsed="false">
      <c r="A16" s="2" t="s">
        <v>352</v>
      </c>
      <c r="B16" s="2" t="s">
        <v>351</v>
      </c>
      <c r="C16" s="4" t="n">
        <f aca="false">COUNTIF('Pay Line Items'!$E$2:$E$165,B16)</f>
        <v>10</v>
      </c>
      <c r="D16" s="3" t="n">
        <f aca="false">SUMIF('Pay Line Items'!$E$2:$E$165,B16,'Pay Line Items'!$M$2:$M$165)</f>
        <v>78.85</v>
      </c>
      <c r="E16" s="3" t="n">
        <f aca="false">IF(C16=0,0,D16/C16)</f>
        <v>7.885</v>
      </c>
      <c r="F16" s="2" t="s">
        <v>385</v>
      </c>
      <c r="G16" s="2" t="s">
        <v>350</v>
      </c>
      <c r="H16" s="4" t="n">
        <v>15</v>
      </c>
      <c r="I16" s="2" t="s">
        <v>77</v>
      </c>
      <c r="J16" s="2" t="s">
        <v>52</v>
      </c>
    </row>
    <row r="17" customFormat="false" ht="15" hidden="false" customHeight="false" outlineLevel="0" collapsed="false">
      <c r="A17" s="2" t="s">
        <v>374</v>
      </c>
      <c r="B17" s="2" t="s">
        <v>373</v>
      </c>
      <c r="C17" s="4" t="n">
        <f aca="false">COUNTIF('Pay Line Items'!$E$2:$E$165,B17)</f>
        <v>3</v>
      </c>
      <c r="D17" s="3" t="n">
        <f aca="false">SUMIF('Pay Line Items'!$E$2:$E$165,B17,'Pay Line Items'!$M$2:$M$165)</f>
        <v>416.28</v>
      </c>
      <c r="E17" s="3" t="n">
        <f aca="false">IF(C17=0,0,D17/C17)</f>
        <v>138.76</v>
      </c>
      <c r="F17" s="2" t="s">
        <v>385</v>
      </c>
      <c r="G17" s="2" t="s">
        <v>370</v>
      </c>
      <c r="H17" s="4" t="n">
        <v>16</v>
      </c>
      <c r="I17" s="2" t="s">
        <v>77</v>
      </c>
      <c r="J17" s="2" t="s">
        <v>52</v>
      </c>
    </row>
    <row r="18" customFormat="false" ht="15" hidden="false" customHeight="false" outlineLevel="0" collapsed="false">
      <c r="A18" s="2" t="s">
        <v>372</v>
      </c>
      <c r="B18" s="2" t="s">
        <v>371</v>
      </c>
      <c r="C18" s="4" t="n">
        <f aca="false">COUNTIF('Pay Line Items'!$E$2:$E$165,B18)</f>
        <v>3</v>
      </c>
      <c r="D18" s="3" t="n">
        <f aca="false">SUMIF('Pay Line Items'!$E$2:$E$165,B18,'Pay Line Items'!$M$2:$M$165)</f>
        <v>48.9</v>
      </c>
      <c r="E18" s="3" t="n">
        <f aca="false">IF(C18=0,0,D18/C18)</f>
        <v>16.3</v>
      </c>
      <c r="F18" s="2" t="s">
        <v>385</v>
      </c>
      <c r="G18" s="2" t="s">
        <v>370</v>
      </c>
      <c r="H18" s="4" t="n">
        <v>17</v>
      </c>
      <c r="I18" s="2" t="s">
        <v>77</v>
      </c>
      <c r="J18" s="2" t="s">
        <v>52</v>
      </c>
    </row>
    <row r="19" customFormat="false" ht="15" hidden="false" customHeight="false" outlineLevel="0" collapsed="false">
      <c r="A19" s="2" t="s">
        <v>369</v>
      </c>
      <c r="B19" s="2" t="s">
        <v>368</v>
      </c>
      <c r="C19" s="4" t="n">
        <f aca="false">COUNTIF('Pay Line Items'!$E$2:$E$165,B19)</f>
        <v>3</v>
      </c>
      <c r="D19" s="3" t="n">
        <f aca="false">SUMIF('Pay Line Items'!$E$2:$E$165,B19,'Pay Line Items'!$M$2:$M$165)</f>
        <v>15.68</v>
      </c>
      <c r="E19" s="3" t="n">
        <f aca="false">IF(C19=0,0,D19/C19)</f>
        <v>5.22666666666667</v>
      </c>
      <c r="F19" s="2" t="s">
        <v>385</v>
      </c>
      <c r="G19" s="2" t="s">
        <v>370</v>
      </c>
      <c r="H19" s="4" t="n">
        <v>18</v>
      </c>
      <c r="I19" s="2" t="s">
        <v>77</v>
      </c>
      <c r="J19" s="2" t="s">
        <v>52</v>
      </c>
    </row>
    <row r="20" customFormat="false" ht="15" hidden="false" customHeight="false" outlineLevel="0" collapsed="false">
      <c r="A20" s="2" t="s">
        <v>359</v>
      </c>
      <c r="B20" s="2" t="s">
        <v>358</v>
      </c>
      <c r="C20" s="4" t="n">
        <f aca="false">COUNTIF('Pay Line Items'!$E$2:$E$165,B20)</f>
        <v>10</v>
      </c>
      <c r="D20" s="3" t="n">
        <f aca="false">SUMIF('Pay Line Items'!$E$2:$E$165,B20,'Pay Line Items'!$M$2:$M$165)</f>
        <v>1180.39</v>
      </c>
      <c r="E20" s="3" t="n">
        <f aca="false">IF(C20=0,0,D20/C20)</f>
        <v>118.039</v>
      </c>
      <c r="F20" s="2" t="s">
        <v>386</v>
      </c>
      <c r="G20" s="2" t="s">
        <v>361</v>
      </c>
      <c r="H20" s="4" t="n">
        <v>19</v>
      </c>
      <c r="I20" s="2" t="s">
        <v>77</v>
      </c>
      <c r="J20" s="2" t="s">
        <v>52</v>
      </c>
    </row>
    <row r="21" customFormat="false" ht="15" hidden="false" customHeight="false" outlineLevel="0" collapsed="false">
      <c r="A21" s="2" t="s">
        <v>363</v>
      </c>
      <c r="B21" s="2" t="s">
        <v>362</v>
      </c>
      <c r="C21" s="4" t="n">
        <f aca="false">COUNTIF('Pay Line Items'!$E$2:$E$165,B21)</f>
        <v>10</v>
      </c>
      <c r="D21" s="3" t="n">
        <f aca="false">SUMIF('Pay Line Items'!$E$2:$E$165,B21,'Pay Line Items'!$M$2:$M$165)</f>
        <v>7724.64</v>
      </c>
      <c r="E21" s="3" t="n">
        <f aca="false">IF(C21=0,0,D21/C21)</f>
        <v>772.464</v>
      </c>
      <c r="F21" s="2" t="s">
        <v>386</v>
      </c>
      <c r="G21" s="2" t="s">
        <v>361</v>
      </c>
      <c r="H21" s="4" t="n">
        <v>20</v>
      </c>
      <c r="I21" s="2" t="s">
        <v>77</v>
      </c>
      <c r="J21" s="2" t="s">
        <v>52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5" t="s">
        <v>387</v>
      </c>
    </row>
    <row r="2" customFormat="false" ht="15" hidden="false" customHeight="false" outlineLevel="0" collapsed="false">
      <c r="A2" s="6" t="s">
        <v>388</v>
      </c>
    </row>
    <row r="3" customFormat="false" ht="15" hidden="false" customHeight="false" outlineLevel="0" collapsed="false">
      <c r="A3" s="6" t="s">
        <v>389</v>
      </c>
    </row>
    <row r="4" customFormat="false" ht="15" hidden="false" customHeight="false" outlineLevel="0" collapsed="false">
      <c r="A4" s="6" t="s">
        <v>390</v>
      </c>
    </row>
    <row r="5" customFormat="false" ht="15" hidden="false" customHeight="false" outlineLevel="0" collapsed="false">
      <c r="A5" s="6" t="s">
        <v>391</v>
      </c>
    </row>
    <row r="6" customFormat="false" ht="15" hidden="false" customHeight="false" outlineLevel="0" collapsed="false">
      <c r="A6" s="6" t="s">
        <v>392</v>
      </c>
    </row>
    <row r="7" customFormat="false" ht="15" hidden="false" customHeight="false" outlineLevel="0" collapsed="false">
      <c r="A7" s="6" t="s">
        <v>393</v>
      </c>
    </row>
    <row r="8" customFormat="false" ht="15" hidden="false" customHeight="false" outlineLevel="0" collapsed="false">
      <c r="A8" s="6" t="s">
        <v>394</v>
      </c>
    </row>
    <row r="9" customFormat="false" ht="15" hidden="false" customHeight="false" outlineLevel="0" collapsed="false">
      <c r="A9" s="6" t="s">
        <v>395</v>
      </c>
    </row>
    <row r="10" customFormat="false" ht="15" hidden="false" customHeight="false" outlineLevel="0" collapsed="false">
      <c r="A10" s="6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2026-09-28T13:43:20Z</dcterms:created>
  <dc:creator>openpyxl</dc:creator>
  <dc:description/>
  <dc:language>en-US</dc:language>
  <cp:lastModifiedBy/>
  <dcterms:modified xsi:type="dcterms:W3CDTF">2026-09-28T13:43:21Z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